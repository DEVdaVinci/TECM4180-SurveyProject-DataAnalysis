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bxE\OneDrive\Documents\UNT\2025 Fall\TECM 4180 Advanced Technical Communication\Assignments\Survey Project\Data Analysis Assignment\archive\"/>
    </mc:Choice>
  </mc:AlternateContent>
  <xr:revisionPtr revIDLastSave="0" documentId="13_ncr:9_{F38D2EB3-F8BA-440E-B342-65352AA65990}" xr6:coauthVersionLast="47" xr6:coauthVersionMax="47" xr10:uidLastSave="{00000000-0000-0000-0000-000000000000}"/>
  <bookViews>
    <workbookView xWindow="19095" yWindow="0" windowWidth="13980" windowHeight="15585" xr2:uid="{35993B72-4131-45DE-8FEF-A707B75FCA99}"/>
  </bookViews>
  <sheets>
    <sheet name="survey_report_test_v1" sheetId="1" r:id="rId1"/>
  </sheets>
  <calcPr calcId="0"/>
</workbook>
</file>

<file path=xl/calcChain.xml><?xml version="1.0" encoding="utf-8"?>
<calcChain xmlns="http://schemas.openxmlformats.org/spreadsheetml/2006/main">
  <c r="AT60" i="1" l="1"/>
  <c r="AT61" i="1"/>
  <c r="AT62" i="1"/>
  <c r="AT63" i="1"/>
  <c r="AT59" i="1"/>
  <c r="AN59" i="1"/>
  <c r="AO59" i="1"/>
  <c r="AP59" i="1"/>
  <c r="AQ59" i="1"/>
  <c r="AR59" i="1"/>
  <c r="AN60" i="1"/>
  <c r="AO60" i="1"/>
  <c r="AP60" i="1"/>
  <c r="AQ60" i="1"/>
  <c r="AR60" i="1"/>
  <c r="AN61" i="1"/>
  <c r="AO61" i="1"/>
  <c r="AP61" i="1"/>
  <c r="AQ61" i="1"/>
  <c r="AR61" i="1"/>
  <c r="AN62" i="1"/>
  <c r="AO62" i="1"/>
  <c r="AP62" i="1"/>
  <c r="AQ62" i="1"/>
  <c r="AR62" i="1"/>
  <c r="AN63" i="1"/>
  <c r="AO63" i="1"/>
  <c r="AP63" i="1"/>
  <c r="AQ63" i="1"/>
  <c r="AR63" i="1"/>
  <c r="AM63" i="1"/>
  <c r="AM62" i="1"/>
  <c r="AM61" i="1"/>
  <c r="AM60" i="1"/>
  <c r="AM59" i="1"/>
  <c r="AA60" i="1"/>
  <c r="AB60" i="1"/>
  <c r="AC60" i="1"/>
  <c r="AD60" i="1"/>
  <c r="AE60" i="1"/>
  <c r="Z60" i="1"/>
  <c r="AA58" i="1"/>
  <c r="AB58" i="1"/>
  <c r="AC58" i="1"/>
  <c r="AD58" i="1"/>
  <c r="AE58" i="1"/>
  <c r="Z58" i="1"/>
</calcChain>
</file>

<file path=xl/sharedStrings.xml><?xml version="1.0" encoding="utf-8"?>
<sst xmlns="http://schemas.openxmlformats.org/spreadsheetml/2006/main" count="302" uniqueCount="175">
  <si>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</si>
  <si>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</si>
  <si>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</si>
  <si>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</si>
  <si>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</si>
  <si>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</si>
  <si>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</si>
  <si>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</si>
  <si>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</si>
  <si>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</si>
  <si>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</si>
  <si>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</si>
  <si>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</si>
  <si>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</si>
  <si>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</si>
  <si>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</si>
  <si>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</si>
  <si>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Q_DuplicateRespondent</t>
  </si>
  <si>
    <t>Q1</t>
  </si>
  <si>
    <t>Q2</t>
  </si>
  <si>
    <t>Q5</t>
  </si>
  <si>
    <t>Q6</t>
  </si>
  <si>
    <t>Q7</t>
  </si>
  <si>
    <t>Q8</t>
  </si>
  <si>
    <t>Q9</t>
  </si>
  <si>
    <t>Q9#1_1</t>
  </si>
  <si>
    <t>Q9#1_2</t>
  </si>
  <si>
    <t>Q9#1_3</t>
  </si>
  <si>
    <t>Q9#1_4</t>
  </si>
  <si>
    <t>Q9#1_5</t>
  </si>
  <si>
    <t>Q9#1_6</t>
  </si>
  <si>
    <t>Q9_2</t>
  </si>
  <si>
    <t>Q10#1_1</t>
  </si>
  <si>
    <t>Q10#1_2</t>
  </si>
  <si>
    <t>Q10#1_3</t>
  </si>
  <si>
    <t>Q10#1_4</t>
  </si>
  <si>
    <t>Q10#1_5</t>
  </si>
  <si>
    <t>Q10#1_6</t>
  </si>
  <si>
    <t>Q11_1</t>
  </si>
  <si>
    <t>Q11_2</t>
  </si>
  <si>
    <t>Q11_3</t>
  </si>
  <si>
    <t>Q11_4</t>
  </si>
  <si>
    <t>Q11_5</t>
  </si>
  <si>
    <t>Q11_6</t>
  </si>
  <si>
    <t>Q12</t>
  </si>
  <si>
    <t>Q13_1</t>
  </si>
  <si>
    <t>Q13_2</t>
  </si>
  <si>
    <t>Q13_3</t>
  </si>
  <si>
    <t>Q14</t>
  </si>
  <si>
    <t>R_7jf8CW6jzTbwDcI</t>
  </si>
  <si>
    <t>preview</t>
  </si>
  <si>
    <t>EN</t>
  </si>
  <si>
    <t>1,2,3,4</t>
  </si>
  <si>
    <t>R_6zuR1xYCjAinvr1</t>
  </si>
  <si>
    <t>1,5</t>
  </si>
  <si>
    <t>R_3wTEO5qI0M3rSbw</t>
  </si>
  <si>
    <t>2,3,5</t>
  </si>
  <si>
    <t>R_3hlrlQggpBnN3yG</t>
  </si>
  <si>
    <t>2,3</t>
  </si>
  <si>
    <t>R_5mDfkFEDehcMj3K</t>
  </si>
  <si>
    <t>1,3</t>
  </si>
  <si>
    <t>R_7BC6ALPRgpQ3qzD</t>
  </si>
  <si>
    <t>R_5ezEf9C7Jb2knew</t>
  </si>
  <si>
    <t>172.59.196.127</t>
  </si>
  <si>
    <t>R_3DS3hlLYJDEAkgi</t>
  </si>
  <si>
    <t>qr</t>
  </si>
  <si>
    <t>172.226.175.47</t>
  </si>
  <si>
    <t>R_3pbR6EU1ZzI0nLZ</t>
  </si>
  <si>
    <t>174.214.111.106</t>
  </si>
  <si>
    <t>R_3Q5CRN7QN27Rp13</t>
  </si>
  <si>
    <t>anonymous</t>
  </si>
  <si>
    <t>1,2,3</t>
  </si>
  <si>
    <t>207.213.181.144</t>
  </si>
  <si>
    <t>R_1mkNXZ1kHcyq6p2</t>
  </si>
  <si>
    <t>2,3,4</t>
  </si>
  <si>
    <t>107.115.122.77</t>
  </si>
  <si>
    <t>R_5PndNqanTYYdRCI</t>
  </si>
  <si>
    <t>129.120.67.51</t>
  </si>
  <si>
    <t>R_7Li14VDynKBWAd6</t>
  </si>
  <si>
    <t>1,2</t>
  </si>
  <si>
    <t>47.38.207.208</t>
  </si>
  <si>
    <t>R_1JK8EjDWeQqLCcw</t>
  </si>
  <si>
    <t>47.186.211.51</t>
  </si>
  <si>
    <t>R_7RqzyN6FlfbBxnj</t>
  </si>
  <si>
    <t>153.33.138.59</t>
  </si>
  <si>
    <t>R_7TpfSQjrbdATrzd</t>
  </si>
  <si>
    <t>172.59.192.135</t>
  </si>
  <si>
    <t>R_1PjLN2vpli7f3wx</t>
  </si>
  <si>
    <t>172.58.182.112</t>
  </si>
  <si>
    <t>R_10PGxmA6V7dD8Nc</t>
  </si>
  <si>
    <t>167.88.63.94</t>
  </si>
  <si>
    <t>R_1jEaYYWoqKVbeCX</t>
  </si>
  <si>
    <t>107.115.122.10</t>
  </si>
  <si>
    <t>R_7Mhh5DQi58K8vmg</t>
  </si>
  <si>
    <t>129.120.67.52</t>
  </si>
  <si>
    <t>R_1Md67XzUMcp5AWd</t>
  </si>
  <si>
    <t>R_6b1p3tUMRR2waqV</t>
  </si>
  <si>
    <t>207.213.181.24</t>
  </si>
  <si>
    <t>R_1rKo9NkWzN57wT7</t>
  </si>
  <si>
    <t>R_3e5dnn6yKuNoNy2</t>
  </si>
  <si>
    <t>1,5,6</t>
  </si>
  <si>
    <t>R_1E3SvznfsRoGht3</t>
  </si>
  <si>
    <t>R_79HACtuPirU4S2Z</t>
  </si>
  <si>
    <t>166.199.242.4</t>
  </si>
  <si>
    <t>R_7B46jfhtcna0Hvz</t>
  </si>
  <si>
    <t>1,2,3,4,5,6</t>
  </si>
  <si>
    <t>172.59.192.188</t>
  </si>
  <si>
    <t>R_5G0Vsr8nGIderrA</t>
  </si>
  <si>
    <t>104.28.103.163</t>
  </si>
  <si>
    <t>R_1q7TUn98cUWJmUI</t>
  </si>
  <si>
    <t>1,2,3,4,5</t>
  </si>
  <si>
    <t>38.68.134.131</t>
  </si>
  <si>
    <t>R_7d45AXzw6D0Ae8E</t>
  </si>
  <si>
    <t>1,4,5</t>
  </si>
  <si>
    <t>172.111.36.21</t>
  </si>
  <si>
    <t>R_1EJc8kbV8crhG37</t>
  </si>
  <si>
    <t>104.248.31.52</t>
  </si>
  <si>
    <t>R_8zCIHOp6s5tDwRU</t>
  </si>
  <si>
    <t>73.117.115.164</t>
  </si>
  <si>
    <t>R_6qb5NTnyBFSf9BG</t>
  </si>
  <si>
    <t>207.213.187.25</t>
  </si>
  <si>
    <t>R_5im4MsMOEdRZmrC</t>
  </si>
  <si>
    <t>107.115.163.119</t>
  </si>
  <si>
    <t>R_18yFrF7GqZzoPip</t>
  </si>
  <si>
    <t>38.68.135.97</t>
  </si>
  <si>
    <t>R_71KINwyw1fBcw0h</t>
  </si>
  <si>
    <t>75.98.220.20</t>
  </si>
  <si>
    <t>R_6fjyzUSVbC73bMR</t>
  </si>
  <si>
    <t>R_3U5DuFva7kvj9B6</t>
  </si>
  <si>
    <t>172.59.195.156</t>
  </si>
  <si>
    <t>R_3e2eNaukYNkrZxz</t>
  </si>
  <si>
    <t>174.226.138.134</t>
  </si>
  <si>
    <t>R_1L1JkqBdYTnei3d</t>
  </si>
  <si>
    <t>2,5</t>
  </si>
  <si>
    <t>64.189.56.136</t>
  </si>
  <si>
    <t>R_19jrfVn4loiGwcp</t>
  </si>
  <si>
    <t>172.56.188.80</t>
  </si>
  <si>
    <t>R_70ZCZ4mzlNzlBQW</t>
  </si>
  <si>
    <t>146.75.164.235</t>
  </si>
  <si>
    <t>R_7gwVsm76b4koYIV</t>
  </si>
  <si>
    <t>128.92.210.3</t>
  </si>
  <si>
    <t>R_67IFYs3UxhV1XZQ</t>
  </si>
  <si>
    <t>R_33DQl6r40T3Rauv</t>
  </si>
  <si>
    <t>172.59.195.122</t>
  </si>
  <si>
    <t>R_6CkcDaOhIEgoug3</t>
  </si>
  <si>
    <t>1,2,4</t>
  </si>
  <si>
    <t>47.4.8.33</t>
  </si>
  <si>
    <t>R_3LYdB4y1BIkfXel</t>
  </si>
  <si>
    <t>1,2,3,5</t>
  </si>
  <si>
    <t>69.138.27.10</t>
  </si>
  <si>
    <t>R_63Dtk0INIUmhkQc</t>
  </si>
  <si>
    <t>207.213.181.88</t>
  </si>
  <si>
    <t>R_32bDn1LFJQiKzYv</t>
  </si>
  <si>
    <t>2,3,4,5</t>
  </si>
  <si>
    <t>38.111.114.162</t>
  </si>
  <si>
    <t>R_1Hhr5MjOanZmDoN</t>
  </si>
  <si>
    <t>107.115.163.96</t>
  </si>
  <si>
    <t>R_6Xjh4BEUtPn0AUx</t>
  </si>
  <si>
    <t>174.224.3.42</t>
  </si>
  <si>
    <t>R_5O0OcuwKvzNVFMu</t>
  </si>
  <si>
    <t>107.115.163.53</t>
  </si>
  <si>
    <t>R_1DP3ASBVx3haNAb</t>
  </si>
  <si>
    <t>167.88.62.40</t>
  </si>
  <si>
    <t>R_7CKrD3SMgLZVYK8</t>
  </si>
  <si>
    <t>172.226.81.46</t>
  </si>
  <si>
    <t>R_5DzHJITKBtYTD4F</t>
  </si>
  <si>
    <t>4,5</t>
  </si>
  <si>
    <t>R_6gkK1IUoA49Wt23</t>
  </si>
  <si>
    <t>Discuss material</t>
  </si>
  <si>
    <t>Other</t>
  </si>
  <si>
    <t>Non-course related questions</t>
  </si>
  <si>
    <t>Discuss class</t>
  </si>
  <si>
    <t>Discuss grades</t>
  </si>
  <si>
    <t>Homework help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</si>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</sst>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survey_report_test_v1!$Z$60:$AE$60</c:f>
              <c:numCache>
                <c:formatCode>General</c:formatCode>
                <c:ptCount val="6"/>
                <c:pt idx="0">
                  <c:v>46.428571428571431</c:v>
                </c:pt>
                <c:pt idx="1">
                  <c:v>55.357142857142861</c:v>
                </c:pt>
                <c:pt idx="2">
                  <c:v>33.928571428571431</c:v>
                </c:pt>
                <c:pt idx="3">
                  <c:v>19.642857142857142</c:v>
                </c:pt>
                <c:pt idx="4">
                  <c:v>26.785714285714285</c:v>
                </c:pt>
                <c:pt idx="5">
                  <c:v>21.428571428571427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D-4C85-8DB1-1AF701617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169568"/>
        <c:axId val="478164288"/>
      </c:barChart>
      <c:catAx>
        <c:axId val="4781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64288"/>
        <c:crosses val="autoZero"/>
        <c:auto val="1"/>
        <c:lblAlgn val="ctr"/>
        <c:lblOffset val="100"/>
        <c:noMultiLvlLbl val="0"/>
      </c:catAx>
      <c:valAx>
        <c:axId val="47816428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survey_report_test_v1!$AM$58</c:f>
              <c:strCache>
                <c:ptCount val="1"/>
                <c:pt idx="0">
                  <c:v>Discuss material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survey_report_test_v1!$AL$59:$AL$63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survey_report_test_v1!$AM$59:$AM$63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7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5-41C7-A245-042315D87AB6}"/>
            </c:ext>
          </c:extLst>
        </c:ser>
        <c:ser>
          <c:idx val="1"/>
          <c:order val="1"/>
          <c:tx>
            <c:strRef>
              <c:f>survey_report_test_v1!$AN$58</c:f>
              <c:strCache>
                <c:ptCount val="1"/>
                <c:pt idx="0">
                  <c:v>Homework help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survey_report_test_v1!$AL$59:$AL$63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survey_report_test_v1!$AN$59:$AN$63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5-41C7-A245-042315D87AB6}"/>
            </c:ext>
          </c:extLst>
        </c:ser>
        <c:ser>
          <c:idx val="2"/>
          <c:order val="2"/>
          <c:tx>
            <c:strRef>
              <c:f>survey_report_test_v1!$AO$58</c:f>
              <c:strCache>
                <c:ptCount val="1"/>
                <c:pt idx="0">
                  <c:v>Discuss grades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survey_report_test_v1!$AL$59:$AL$63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survey_report_test_v1!$AO$59:$AO$63</c:f>
              <c:numCache>
                <c:formatCode>General</c:formatCode>
                <c:ptCount val="5"/>
                <c:pt idx="0">
                  <c:v>7</c:v>
                </c:pt>
                <c:pt idx="1">
                  <c:v>10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5-41C7-A245-042315D87AB6}"/>
            </c:ext>
          </c:extLst>
        </c:ser>
        <c:ser>
          <c:idx val="3"/>
          <c:order val="3"/>
          <c:tx>
            <c:strRef>
              <c:f>survey_report_test_v1!$AP$58</c:f>
              <c:strCache>
                <c:ptCount val="1"/>
                <c:pt idx="0">
                  <c:v>Discuss class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survey_report_test_v1!$AL$59:$AL$63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survey_report_test_v1!$AP$59:$AP$63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B5-41C7-A245-042315D87AB6}"/>
            </c:ext>
          </c:extLst>
        </c:ser>
        <c:ser>
          <c:idx val="4"/>
          <c:order val="4"/>
          <c:tx>
            <c:strRef>
              <c:f>survey_report_test_v1!$AQ$58</c:f>
              <c:strCache>
                <c:ptCount val="1"/>
                <c:pt idx="0">
                  <c:v>Non-course related questions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survey_report_test_v1!$AL$59:$AL$63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survey_report_test_v1!$AQ$59:$AQ$63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B5-41C7-A245-042315D87AB6}"/>
            </c:ext>
          </c:extLst>
        </c:ser>
        <c:ser>
          <c:idx val="5"/>
          <c:order val="5"/>
          <c:tx>
            <c:strRef>
              <c:f>survey_report_test_v1!$AR$58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survey_report_test_v1!$AL$59:$AL$63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survey_report_test_v1!$AR$59:$AR$63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B5-41C7-A245-042315D87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200288"/>
        <c:axId val="478193088"/>
      </c:barChart>
      <c:catAx>
        <c:axId val="47820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93088"/>
        <c:crosses val="autoZero"/>
        <c:auto val="1"/>
        <c:lblAlgn val="ctr"/>
        <c:lblOffset val="100"/>
        <c:noMultiLvlLbl val="0"/>
      </c:catAx>
      <c:valAx>
        <c:axId val="4781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0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447675</xdr:colOff>
      <xdr:row>61</xdr:row>
      <xdr:rowOff>75247</xdr:rowOff>
    </xdr:from>
    <xdr:to>
      <xdr:col>32</xdr:col>
      <xdr:colOff>142875</xdr:colOff>
      <xdr:row>76</xdr:row>
      <xdr:rowOff>101917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40B0E-B38C-E074-CC60-DB2EDD5A7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586740</xdr:colOff>
      <xdr:row>38</xdr:row>
      <xdr:rowOff>77152</xdr:rowOff>
    </xdr:from>
    <xdr:to>
      <xdr:col>44</xdr:col>
      <xdr:colOff>281940</xdr:colOff>
      <xdr:row>53</xdr:row>
      <xdr:rowOff>103822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4EF13-4B13-D0E7-88BB-47AE26DEA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DBB4-C6B0-46C4-A88D-1584E4CEAF7F}">
  <dimension ref="A1:AW63"/>
  <sheetViews>
    <sheetView tabSelected="1" topLeftCell="AI31" workbookViewId="0">
      <selection activeCell="AT59" sqref="AT59:AT63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s="1">
        <v>45974.87777777778</v>
      </c>
      <c r="B2" s="1">
        <v>45974.878472222219</v>
      </c>
      <c r="C2">
        <v>1</v>
      </c>
      <c r="E2">
        <v>100</v>
      </c>
      <c r="F2">
        <v>95</v>
      </c>
      <c r="G2">
        <v>1</v>
      </c>
      <c r="H2" s="1">
        <v>45974.878472222219</v>
      </c>
      <c r="I2" t="s">
        <v>49</v>
      </c>
      <c r="N2">
        <v>33.189300000000003</v>
      </c>
      <c r="O2">
        <v>-97.126099999999994</v>
      </c>
      <c r="P2" t="s">
        <v>50</v>
      </c>
      <c r="Q2" t="s">
        <v>51</v>
      </c>
      <c r="Y2" t="s">
        <v>52</v>
      </c>
      <c r="Z2">
        <v>1</v>
      </c>
      <c r="AA2">
        <v>1</v>
      </c>
      <c r="AB2">
        <v>1</v>
      </c>
      <c r="AC2">
        <v>1</v>
      </c>
      <c r="AD2">
        <v>0</v>
      </c>
      <c r="AE2">
        <v>0</v>
      </c>
      <c r="AF2">
        <v>4</v>
      </c>
    </row>
    <row r="3" spans="1:49" x14ac:dyDescent="0.3">
      <c r="A3" s="1">
        <v>45976.695833333331</v>
      </c>
      <c r="B3" s="1">
        <v>45976.730555555558</v>
      </c>
      <c r="C3">
        <v>1</v>
      </c>
      <c r="E3">
        <v>100</v>
      </c>
      <c r="F3">
        <v>2979</v>
      </c>
      <c r="G3">
        <v>1</v>
      </c>
      <c r="H3" s="1">
        <v>45976.730555555558</v>
      </c>
      <c r="I3" t="s">
        <v>53</v>
      </c>
      <c r="N3">
        <v>32.750700000000002</v>
      </c>
      <c r="O3">
        <v>-97.209500000000006</v>
      </c>
      <c r="P3" t="s">
        <v>50</v>
      </c>
      <c r="Q3" t="s">
        <v>51</v>
      </c>
      <c r="T3">
        <v>3</v>
      </c>
      <c r="U3">
        <v>3</v>
      </c>
      <c r="V3">
        <v>5</v>
      </c>
      <c r="W3">
        <v>2</v>
      </c>
      <c r="X3">
        <v>2</v>
      </c>
      <c r="Y3" t="s">
        <v>54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2</v>
      </c>
      <c r="AG3">
        <v>4</v>
      </c>
      <c r="AK3">
        <v>2</v>
      </c>
      <c r="AM3">
        <v>3</v>
      </c>
      <c r="AQ3">
        <v>3</v>
      </c>
      <c r="AS3">
        <v>3</v>
      </c>
      <c r="AW3">
        <v>3</v>
      </c>
    </row>
    <row r="4" spans="1:49" x14ac:dyDescent="0.3">
      <c r="A4" s="1">
        <v>45980.574305555558</v>
      </c>
      <c r="B4" s="1">
        <v>45980.57708333333</v>
      </c>
      <c r="C4">
        <v>1</v>
      </c>
      <c r="E4">
        <v>100</v>
      </c>
      <c r="F4">
        <v>251</v>
      </c>
      <c r="G4">
        <v>1</v>
      </c>
      <c r="H4" s="1">
        <v>45980.57708333333</v>
      </c>
      <c r="I4" t="s">
        <v>55</v>
      </c>
      <c r="N4">
        <v>32.886000000000003</v>
      </c>
      <c r="O4">
        <v>-96.409499999999994</v>
      </c>
      <c r="P4" t="s">
        <v>50</v>
      </c>
      <c r="Q4" t="s">
        <v>51</v>
      </c>
      <c r="S4">
        <v>1</v>
      </c>
      <c r="T4">
        <v>3</v>
      </c>
      <c r="U4">
        <v>1</v>
      </c>
      <c r="V4">
        <v>5</v>
      </c>
      <c r="W4">
        <v>1</v>
      </c>
      <c r="X4">
        <v>2</v>
      </c>
      <c r="Y4" t="s">
        <v>56</v>
      </c>
      <c r="Z4">
        <v>0</v>
      </c>
      <c r="AA4">
        <v>1</v>
      </c>
      <c r="AB4">
        <v>1</v>
      </c>
      <c r="AC4">
        <v>0</v>
      </c>
      <c r="AD4">
        <v>1</v>
      </c>
      <c r="AE4">
        <v>0</v>
      </c>
      <c r="AF4">
        <v>3</v>
      </c>
      <c r="AH4">
        <v>2</v>
      </c>
      <c r="AI4">
        <v>3</v>
      </c>
      <c r="AK4">
        <v>5</v>
      </c>
      <c r="AN4">
        <v>1</v>
      </c>
      <c r="AO4">
        <v>2</v>
      </c>
      <c r="AQ4">
        <v>3</v>
      </c>
      <c r="AS4">
        <v>3</v>
      </c>
      <c r="AT4">
        <v>18</v>
      </c>
      <c r="AU4">
        <v>19</v>
      </c>
      <c r="AV4">
        <v>17</v>
      </c>
      <c r="AW4">
        <v>4</v>
      </c>
    </row>
    <row r="5" spans="1:49" x14ac:dyDescent="0.3">
      <c r="A5" s="1">
        <v>45980.582638888889</v>
      </c>
      <c r="B5" s="1">
        <v>45980.585416666669</v>
      </c>
      <c r="C5">
        <v>1</v>
      </c>
      <c r="E5">
        <v>100</v>
      </c>
      <c r="F5">
        <v>215</v>
      </c>
      <c r="G5">
        <v>1</v>
      </c>
      <c r="H5" s="1">
        <v>45980.585416666669</v>
      </c>
      <c r="I5" t="s">
        <v>57</v>
      </c>
      <c r="N5">
        <v>32.886000000000003</v>
      </c>
      <c r="O5">
        <v>-96.409499999999994</v>
      </c>
      <c r="P5" t="s">
        <v>50</v>
      </c>
      <c r="Q5" t="s">
        <v>51</v>
      </c>
      <c r="S5">
        <v>1</v>
      </c>
      <c r="T5">
        <v>3</v>
      </c>
      <c r="V5">
        <v>4</v>
      </c>
      <c r="W5">
        <v>1</v>
      </c>
      <c r="X5">
        <v>2</v>
      </c>
      <c r="Y5" t="s">
        <v>58</v>
      </c>
      <c r="Z5">
        <v>0</v>
      </c>
      <c r="AA5">
        <v>1</v>
      </c>
      <c r="AB5">
        <v>1</v>
      </c>
      <c r="AC5">
        <v>0</v>
      </c>
      <c r="AD5">
        <v>0</v>
      </c>
      <c r="AE5">
        <v>0</v>
      </c>
      <c r="AF5">
        <v>2</v>
      </c>
      <c r="AH5">
        <v>2</v>
      </c>
      <c r="AI5">
        <v>2</v>
      </c>
      <c r="AN5">
        <v>2</v>
      </c>
      <c r="AO5">
        <v>1</v>
      </c>
      <c r="AS5">
        <v>4</v>
      </c>
      <c r="AT5">
        <v>18</v>
      </c>
      <c r="AU5">
        <v>19</v>
      </c>
      <c r="AV5">
        <v>17</v>
      </c>
    </row>
    <row r="6" spans="1:49" x14ac:dyDescent="0.3">
      <c r="A6" s="1">
        <v>45980.588888888888</v>
      </c>
      <c r="B6" s="1">
        <v>45980.59097222222</v>
      </c>
      <c r="C6">
        <v>1</v>
      </c>
      <c r="E6">
        <v>100</v>
      </c>
      <c r="F6">
        <v>163</v>
      </c>
      <c r="G6">
        <v>1</v>
      </c>
      <c r="H6" s="1">
        <v>45980.59097222222</v>
      </c>
      <c r="I6" t="s">
        <v>59</v>
      </c>
      <c r="N6">
        <v>32.800800000000002</v>
      </c>
      <c r="O6">
        <v>-96.788399999999996</v>
      </c>
      <c r="P6" t="s">
        <v>50</v>
      </c>
      <c r="Q6" t="s">
        <v>51</v>
      </c>
      <c r="S6">
        <v>1</v>
      </c>
      <c r="T6">
        <v>3</v>
      </c>
      <c r="U6">
        <v>4</v>
      </c>
      <c r="V6">
        <v>5</v>
      </c>
      <c r="W6">
        <v>2</v>
      </c>
      <c r="X6">
        <v>2</v>
      </c>
      <c r="Y6" t="s">
        <v>60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2</v>
      </c>
      <c r="AG6">
        <v>5</v>
      </c>
      <c r="AI6">
        <v>5</v>
      </c>
      <c r="AM6">
        <v>3</v>
      </c>
      <c r="AO6">
        <v>1</v>
      </c>
      <c r="AS6">
        <v>3</v>
      </c>
      <c r="AT6">
        <v>18</v>
      </c>
      <c r="AU6">
        <v>19</v>
      </c>
      <c r="AV6">
        <v>16</v>
      </c>
      <c r="AW6">
        <v>3</v>
      </c>
    </row>
    <row r="7" spans="1:49" x14ac:dyDescent="0.3">
      <c r="A7" s="1">
        <v>45980.589583333334</v>
      </c>
      <c r="B7" s="1">
        <v>45980.595833333333</v>
      </c>
      <c r="C7">
        <v>1</v>
      </c>
      <c r="E7">
        <v>100</v>
      </c>
      <c r="F7">
        <v>532</v>
      </c>
      <c r="G7">
        <v>1</v>
      </c>
      <c r="H7" s="1">
        <v>45980.595833333333</v>
      </c>
      <c r="I7" t="s">
        <v>61</v>
      </c>
      <c r="N7">
        <v>32.886000000000003</v>
      </c>
      <c r="O7">
        <v>-96.409499999999994</v>
      </c>
      <c r="P7" t="s">
        <v>50</v>
      </c>
      <c r="Q7" t="s">
        <v>51</v>
      </c>
      <c r="S7">
        <v>1</v>
      </c>
      <c r="T7">
        <v>3</v>
      </c>
      <c r="U7">
        <v>1</v>
      </c>
      <c r="V7">
        <v>2</v>
      </c>
      <c r="W7">
        <v>1</v>
      </c>
      <c r="X7">
        <v>2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3</v>
      </c>
      <c r="AM7">
        <v>2</v>
      </c>
      <c r="AS7">
        <v>2</v>
      </c>
      <c r="AT7">
        <v>17</v>
      </c>
      <c r="AU7">
        <v>16</v>
      </c>
      <c r="AV7">
        <v>16</v>
      </c>
      <c r="AW7">
        <v>2</v>
      </c>
    </row>
    <row r="8" spans="1:49" x14ac:dyDescent="0.3">
      <c r="A8" s="1">
        <v>45980.6</v>
      </c>
      <c r="B8" s="1">
        <v>45980.601388888892</v>
      </c>
      <c r="C8">
        <v>1</v>
      </c>
      <c r="E8">
        <v>100</v>
      </c>
      <c r="F8">
        <v>101</v>
      </c>
      <c r="G8">
        <v>1</v>
      </c>
      <c r="H8" s="1">
        <v>45980.601388888892</v>
      </c>
      <c r="I8" t="s">
        <v>62</v>
      </c>
      <c r="N8">
        <v>32.779699999999998</v>
      </c>
      <c r="O8">
        <v>-96.802199999999999</v>
      </c>
      <c r="P8" t="s">
        <v>50</v>
      </c>
      <c r="Q8" t="s">
        <v>51</v>
      </c>
      <c r="S8">
        <v>1</v>
      </c>
      <c r="T8">
        <v>3</v>
      </c>
      <c r="U8">
        <v>3</v>
      </c>
      <c r="V8">
        <v>5</v>
      </c>
      <c r="W8">
        <v>2</v>
      </c>
      <c r="X8">
        <v>1</v>
      </c>
      <c r="Y8" t="s">
        <v>52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4</v>
      </c>
      <c r="AG8">
        <v>4</v>
      </c>
      <c r="AH8">
        <v>3</v>
      </c>
      <c r="AI8">
        <v>4</v>
      </c>
      <c r="AJ8">
        <v>4</v>
      </c>
      <c r="AM8">
        <v>2</v>
      </c>
      <c r="AN8">
        <v>3</v>
      </c>
      <c r="AO8">
        <v>2</v>
      </c>
      <c r="AP8">
        <v>2</v>
      </c>
      <c r="AS8">
        <v>4</v>
      </c>
      <c r="AT8">
        <v>17</v>
      </c>
      <c r="AU8">
        <v>19</v>
      </c>
      <c r="AV8">
        <v>17</v>
      </c>
      <c r="AW8">
        <v>4</v>
      </c>
    </row>
    <row r="9" spans="1:49" x14ac:dyDescent="0.3">
      <c r="A9" s="1">
        <v>45980.695833333331</v>
      </c>
      <c r="B9" s="1">
        <v>45980.697916666664</v>
      </c>
      <c r="C9">
        <v>0</v>
      </c>
      <c r="D9" t="s">
        <v>63</v>
      </c>
      <c r="E9">
        <v>100</v>
      </c>
      <c r="F9">
        <v>134</v>
      </c>
      <c r="G9">
        <v>1</v>
      </c>
      <c r="H9" s="1">
        <v>45980.697916666664</v>
      </c>
      <c r="I9" t="s">
        <v>64</v>
      </c>
      <c r="N9">
        <v>32.813699999999997</v>
      </c>
      <c r="O9">
        <v>-96.870400000000004</v>
      </c>
      <c r="P9" t="s">
        <v>65</v>
      </c>
      <c r="Q9" t="s">
        <v>51</v>
      </c>
      <c r="S9">
        <v>1</v>
      </c>
      <c r="T9">
        <v>6</v>
      </c>
      <c r="U9">
        <v>2</v>
      </c>
      <c r="V9">
        <v>3</v>
      </c>
      <c r="W9">
        <v>2</v>
      </c>
      <c r="X9">
        <v>1</v>
      </c>
      <c r="Y9">
        <v>6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L9">
        <v>5</v>
      </c>
      <c r="AR9">
        <v>1</v>
      </c>
      <c r="AS9">
        <v>1</v>
      </c>
      <c r="AT9">
        <v>20</v>
      </c>
      <c r="AU9">
        <v>17</v>
      </c>
      <c r="AV9">
        <v>18</v>
      </c>
      <c r="AW9">
        <v>1</v>
      </c>
    </row>
    <row r="10" spans="1:49" x14ac:dyDescent="0.3">
      <c r="A10" s="1">
        <v>45980.727777777778</v>
      </c>
      <c r="B10" s="1">
        <v>45980.729861111111</v>
      </c>
      <c r="C10">
        <v>0</v>
      </c>
      <c r="D10" t="s">
        <v>66</v>
      </c>
      <c r="E10">
        <v>100</v>
      </c>
      <c r="F10">
        <v>218</v>
      </c>
      <c r="G10">
        <v>1</v>
      </c>
      <c r="H10" s="1">
        <v>45980.729861111111</v>
      </c>
      <c r="I10" t="s">
        <v>67</v>
      </c>
      <c r="N10">
        <v>33.220500000000001</v>
      </c>
      <c r="O10">
        <v>-97.129400000000004</v>
      </c>
      <c r="P10" t="s">
        <v>65</v>
      </c>
      <c r="Q10" t="s">
        <v>51</v>
      </c>
      <c r="S10">
        <v>1</v>
      </c>
      <c r="T10">
        <v>8</v>
      </c>
      <c r="U10">
        <v>2</v>
      </c>
      <c r="V10">
        <v>5</v>
      </c>
      <c r="W10">
        <v>1</v>
      </c>
      <c r="X10">
        <v>1</v>
      </c>
      <c r="Y10">
        <v>2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1</v>
      </c>
      <c r="AH10">
        <v>4</v>
      </c>
      <c r="AN10">
        <v>2</v>
      </c>
      <c r="AS10">
        <v>3</v>
      </c>
      <c r="AT10">
        <v>16</v>
      </c>
      <c r="AU10">
        <v>16</v>
      </c>
      <c r="AV10">
        <v>16</v>
      </c>
      <c r="AW10">
        <v>1</v>
      </c>
    </row>
    <row r="11" spans="1:49" x14ac:dyDescent="0.3">
      <c r="A11" s="1">
        <v>45980.669444444444</v>
      </c>
      <c r="B11" s="1">
        <v>45980.67083333333</v>
      </c>
      <c r="C11">
        <v>0</v>
      </c>
      <c r="D11" t="s">
        <v>68</v>
      </c>
      <c r="E11">
        <v>100</v>
      </c>
      <c r="F11">
        <v>140</v>
      </c>
      <c r="G11">
        <v>1</v>
      </c>
      <c r="H11" s="1">
        <v>45980.67083333333</v>
      </c>
      <c r="I11" t="s">
        <v>69</v>
      </c>
      <c r="N11">
        <v>32.788899999999998</v>
      </c>
      <c r="O11">
        <v>-96.802099999999996</v>
      </c>
      <c r="P11" t="s">
        <v>70</v>
      </c>
      <c r="Q11" t="s">
        <v>51</v>
      </c>
      <c r="S11">
        <v>1</v>
      </c>
      <c r="T11">
        <v>6</v>
      </c>
      <c r="U11">
        <v>4</v>
      </c>
      <c r="V11">
        <v>5</v>
      </c>
      <c r="W11">
        <v>2</v>
      </c>
      <c r="X11">
        <v>1</v>
      </c>
      <c r="Y11" t="s">
        <v>71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3</v>
      </c>
      <c r="AG11">
        <v>5</v>
      </c>
      <c r="AH11">
        <v>4</v>
      </c>
      <c r="AI11">
        <v>5</v>
      </c>
      <c r="AM11">
        <v>2</v>
      </c>
      <c r="AN11">
        <v>1</v>
      </c>
      <c r="AO11">
        <v>1</v>
      </c>
      <c r="AS11">
        <v>4</v>
      </c>
      <c r="AT11">
        <v>17</v>
      </c>
      <c r="AU11">
        <v>17</v>
      </c>
      <c r="AV11">
        <v>17</v>
      </c>
      <c r="AW11">
        <v>2</v>
      </c>
    </row>
    <row r="12" spans="1:49" x14ac:dyDescent="0.3">
      <c r="A12" s="1">
        <v>45980.698611111111</v>
      </c>
      <c r="B12" s="1">
        <v>45980.699305555558</v>
      </c>
      <c r="C12">
        <v>0</v>
      </c>
      <c r="D12" t="s">
        <v>72</v>
      </c>
      <c r="E12">
        <v>100</v>
      </c>
      <c r="F12">
        <v>61</v>
      </c>
      <c r="G12">
        <v>1</v>
      </c>
      <c r="H12" s="1">
        <v>45980.699305555558</v>
      </c>
      <c r="I12" t="s">
        <v>73</v>
      </c>
      <c r="N12">
        <v>29.469799999999999</v>
      </c>
      <c r="O12">
        <v>-98.535700000000006</v>
      </c>
      <c r="P12" t="s">
        <v>65</v>
      </c>
      <c r="Q12" t="s">
        <v>51</v>
      </c>
      <c r="S12">
        <v>1</v>
      </c>
      <c r="T12">
        <v>2</v>
      </c>
      <c r="U12">
        <v>4</v>
      </c>
      <c r="V12">
        <v>5</v>
      </c>
      <c r="W12">
        <v>1</v>
      </c>
      <c r="X12">
        <v>1</v>
      </c>
      <c r="Y12" t="s">
        <v>74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3</v>
      </c>
      <c r="AH12">
        <v>5</v>
      </c>
      <c r="AI12">
        <v>5</v>
      </c>
      <c r="AJ12">
        <v>5</v>
      </c>
      <c r="AN12">
        <v>1</v>
      </c>
      <c r="AO12">
        <v>1</v>
      </c>
      <c r="AP12">
        <v>1</v>
      </c>
      <c r="AS12">
        <v>1</v>
      </c>
      <c r="AT12">
        <v>17</v>
      </c>
      <c r="AU12">
        <v>17</v>
      </c>
      <c r="AV12">
        <v>17</v>
      </c>
      <c r="AW12">
        <v>2</v>
      </c>
    </row>
    <row r="13" spans="1:49" x14ac:dyDescent="0.3">
      <c r="A13" s="1">
        <v>45980.702777777777</v>
      </c>
      <c r="B13" s="1">
        <v>45980.703472222223</v>
      </c>
      <c r="C13">
        <v>0</v>
      </c>
      <c r="D13" t="s">
        <v>75</v>
      </c>
      <c r="E13">
        <v>100</v>
      </c>
      <c r="F13">
        <v>86</v>
      </c>
      <c r="G13">
        <v>1</v>
      </c>
      <c r="H13" s="1">
        <v>45980.703472222223</v>
      </c>
      <c r="I13" t="s">
        <v>76</v>
      </c>
      <c r="N13">
        <v>29.3582</v>
      </c>
      <c r="O13">
        <v>-98.429000000000002</v>
      </c>
      <c r="P13" t="s">
        <v>70</v>
      </c>
      <c r="Q13" t="s">
        <v>51</v>
      </c>
      <c r="S13">
        <v>1</v>
      </c>
      <c r="T13">
        <v>3</v>
      </c>
      <c r="U13">
        <v>3</v>
      </c>
      <c r="V13">
        <v>5</v>
      </c>
      <c r="W13">
        <v>2</v>
      </c>
      <c r="X13">
        <v>1</v>
      </c>
      <c r="Y13" t="s">
        <v>60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2</v>
      </c>
      <c r="AG13">
        <v>3</v>
      </c>
      <c r="AI13">
        <v>4</v>
      </c>
      <c r="AM13">
        <v>3</v>
      </c>
      <c r="AO13">
        <v>2</v>
      </c>
      <c r="AS13">
        <v>3</v>
      </c>
      <c r="AT13">
        <v>19</v>
      </c>
      <c r="AU13">
        <v>19</v>
      </c>
      <c r="AV13">
        <v>19</v>
      </c>
      <c r="AW13">
        <v>2</v>
      </c>
    </row>
    <row r="14" spans="1:49" x14ac:dyDescent="0.3">
      <c r="A14" s="1">
        <v>45980.743055555555</v>
      </c>
      <c r="B14" s="1">
        <v>45980.743750000001</v>
      </c>
      <c r="C14">
        <v>0</v>
      </c>
      <c r="D14" t="s">
        <v>77</v>
      </c>
      <c r="E14">
        <v>100</v>
      </c>
      <c r="F14">
        <v>83</v>
      </c>
      <c r="G14">
        <v>1</v>
      </c>
      <c r="H14" s="1">
        <v>45980.743750000001</v>
      </c>
      <c r="I14" t="s">
        <v>78</v>
      </c>
      <c r="N14">
        <v>33.2301</v>
      </c>
      <c r="O14">
        <v>-97.131200000000007</v>
      </c>
      <c r="P14" t="s">
        <v>65</v>
      </c>
      <c r="Q14" t="s">
        <v>51</v>
      </c>
      <c r="S14">
        <v>1</v>
      </c>
      <c r="T14">
        <v>6</v>
      </c>
      <c r="U14">
        <v>2</v>
      </c>
      <c r="V14">
        <v>5</v>
      </c>
      <c r="W14">
        <v>1</v>
      </c>
      <c r="X14">
        <v>1</v>
      </c>
      <c r="Y14" t="s">
        <v>79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2</v>
      </c>
      <c r="AH14">
        <v>3</v>
      </c>
      <c r="AM14">
        <v>3</v>
      </c>
      <c r="AN14">
        <v>2</v>
      </c>
      <c r="AS14">
        <v>4</v>
      </c>
      <c r="AT14">
        <v>17</v>
      </c>
      <c r="AU14">
        <v>18</v>
      </c>
      <c r="AV14">
        <v>19</v>
      </c>
      <c r="AW14">
        <v>2</v>
      </c>
    </row>
    <row r="15" spans="1:49" x14ac:dyDescent="0.3">
      <c r="A15" s="1">
        <v>45980.604861111111</v>
      </c>
      <c r="B15" s="1">
        <v>45980.605555555558</v>
      </c>
      <c r="C15">
        <v>0</v>
      </c>
      <c r="D15" t="s">
        <v>80</v>
      </c>
      <c r="E15">
        <v>100</v>
      </c>
      <c r="F15">
        <v>88</v>
      </c>
      <c r="G15">
        <v>1</v>
      </c>
      <c r="H15" s="1">
        <v>45980.605555555558</v>
      </c>
      <c r="I15" t="s">
        <v>81</v>
      </c>
      <c r="N15">
        <v>33.145200000000003</v>
      </c>
      <c r="O15">
        <v>-97.069900000000004</v>
      </c>
      <c r="P15" t="s">
        <v>70</v>
      </c>
      <c r="Q15" t="s">
        <v>51</v>
      </c>
      <c r="S15">
        <v>1</v>
      </c>
      <c r="T15">
        <v>7</v>
      </c>
      <c r="U15">
        <v>5</v>
      </c>
      <c r="V15">
        <v>1</v>
      </c>
      <c r="W15">
        <v>2</v>
      </c>
      <c r="X15">
        <v>1</v>
      </c>
      <c r="Y15">
        <v>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L15">
        <v>4</v>
      </c>
      <c r="AR15">
        <v>1</v>
      </c>
      <c r="AS15">
        <v>5</v>
      </c>
      <c r="AT15">
        <v>17</v>
      </c>
      <c r="AU15">
        <v>17</v>
      </c>
      <c r="AV15">
        <v>17</v>
      </c>
      <c r="AW15">
        <v>3</v>
      </c>
    </row>
    <row r="16" spans="1:49" x14ac:dyDescent="0.3">
      <c r="A16" s="1">
        <v>45980.605555555558</v>
      </c>
      <c r="B16" s="1">
        <v>45980.606249999997</v>
      </c>
      <c r="C16">
        <v>0</v>
      </c>
      <c r="D16" t="s">
        <v>82</v>
      </c>
      <c r="E16">
        <v>100</v>
      </c>
      <c r="F16">
        <v>103</v>
      </c>
      <c r="G16">
        <v>1</v>
      </c>
      <c r="H16" s="1">
        <v>45980.606249999997</v>
      </c>
      <c r="I16" t="s">
        <v>83</v>
      </c>
      <c r="N16">
        <v>33.224899999999998</v>
      </c>
      <c r="O16">
        <v>-97.181100000000001</v>
      </c>
      <c r="P16" t="s">
        <v>70</v>
      </c>
      <c r="Q16" t="s">
        <v>51</v>
      </c>
      <c r="S16">
        <v>1</v>
      </c>
      <c r="T16">
        <v>10</v>
      </c>
      <c r="U16">
        <v>2</v>
      </c>
      <c r="V16">
        <v>5</v>
      </c>
      <c r="W16">
        <v>2</v>
      </c>
      <c r="X16">
        <v>2</v>
      </c>
      <c r="Y16">
        <v>2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H16">
        <v>4</v>
      </c>
      <c r="AN16">
        <v>2</v>
      </c>
      <c r="AS16">
        <v>3</v>
      </c>
      <c r="AT16">
        <v>17</v>
      </c>
      <c r="AU16">
        <v>17</v>
      </c>
      <c r="AV16">
        <v>17</v>
      </c>
      <c r="AW16">
        <v>3</v>
      </c>
    </row>
    <row r="17" spans="1:49" x14ac:dyDescent="0.3">
      <c r="A17" s="1">
        <v>45980.629166666666</v>
      </c>
      <c r="B17" s="1">
        <v>45980.631944444445</v>
      </c>
      <c r="C17">
        <v>0</v>
      </c>
      <c r="D17" t="s">
        <v>84</v>
      </c>
      <c r="E17">
        <v>100</v>
      </c>
      <c r="F17">
        <v>244</v>
      </c>
      <c r="G17">
        <v>1</v>
      </c>
      <c r="H17" s="1">
        <v>45980.631944444445</v>
      </c>
      <c r="I17" t="s">
        <v>85</v>
      </c>
      <c r="N17">
        <v>33.189300000000003</v>
      </c>
      <c r="O17">
        <v>-97.126099999999994</v>
      </c>
      <c r="P17" t="s">
        <v>70</v>
      </c>
      <c r="Q17" t="s">
        <v>51</v>
      </c>
      <c r="S17">
        <v>1</v>
      </c>
      <c r="T17">
        <v>3</v>
      </c>
      <c r="U17">
        <v>4</v>
      </c>
      <c r="V17">
        <v>4</v>
      </c>
      <c r="W17">
        <v>1</v>
      </c>
      <c r="X17">
        <v>2</v>
      </c>
      <c r="Y17">
        <v>2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1</v>
      </c>
      <c r="AH17">
        <v>2</v>
      </c>
      <c r="AN17">
        <v>3</v>
      </c>
      <c r="AS17">
        <v>5</v>
      </c>
      <c r="AT17">
        <v>16</v>
      </c>
      <c r="AU17">
        <v>16</v>
      </c>
      <c r="AV17">
        <v>16</v>
      </c>
      <c r="AW17">
        <v>3</v>
      </c>
    </row>
    <row r="18" spans="1:49" x14ac:dyDescent="0.3">
      <c r="A18" s="1">
        <v>45980.68472222222</v>
      </c>
      <c r="B18" s="1">
        <v>45980.686111111114</v>
      </c>
      <c r="C18">
        <v>0</v>
      </c>
      <c r="D18" t="s">
        <v>86</v>
      </c>
      <c r="E18">
        <v>100</v>
      </c>
      <c r="F18">
        <v>132</v>
      </c>
      <c r="G18">
        <v>1</v>
      </c>
      <c r="H18" s="1">
        <v>45980.686111111114</v>
      </c>
      <c r="I18" t="s">
        <v>87</v>
      </c>
      <c r="N18">
        <v>32.7836</v>
      </c>
      <c r="O18">
        <v>-96.867400000000004</v>
      </c>
      <c r="P18" t="s">
        <v>65</v>
      </c>
      <c r="Q18" t="s">
        <v>51</v>
      </c>
      <c r="S18">
        <v>1</v>
      </c>
      <c r="T18">
        <v>12</v>
      </c>
      <c r="U18">
        <v>5</v>
      </c>
      <c r="V18">
        <v>5</v>
      </c>
      <c r="W18">
        <v>1</v>
      </c>
      <c r="X18">
        <v>1</v>
      </c>
      <c r="Y18">
        <v>2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1</v>
      </c>
      <c r="AH18">
        <v>4</v>
      </c>
      <c r="AN18">
        <v>1</v>
      </c>
      <c r="AS18">
        <v>4</v>
      </c>
      <c r="AT18">
        <v>19</v>
      </c>
      <c r="AU18">
        <v>17</v>
      </c>
      <c r="AV18">
        <v>17</v>
      </c>
      <c r="AW18">
        <v>3</v>
      </c>
    </row>
    <row r="19" spans="1:49" x14ac:dyDescent="0.3">
      <c r="A19" s="1">
        <v>45980.6875</v>
      </c>
      <c r="B19" s="1">
        <v>45980.688888888886</v>
      </c>
      <c r="C19">
        <v>0</v>
      </c>
      <c r="D19" t="s">
        <v>88</v>
      </c>
      <c r="E19">
        <v>100</v>
      </c>
      <c r="F19">
        <v>123</v>
      </c>
      <c r="G19">
        <v>1</v>
      </c>
      <c r="H19" s="1">
        <v>45980.688888888886</v>
      </c>
      <c r="I19" t="s">
        <v>89</v>
      </c>
      <c r="N19">
        <v>33.2301</v>
      </c>
      <c r="O19">
        <v>-97.131200000000007</v>
      </c>
      <c r="P19" t="s">
        <v>65</v>
      </c>
      <c r="Q19" t="s">
        <v>51</v>
      </c>
      <c r="S19">
        <v>1</v>
      </c>
      <c r="T19">
        <v>4</v>
      </c>
      <c r="U19">
        <v>3</v>
      </c>
      <c r="V19">
        <v>2</v>
      </c>
      <c r="W19">
        <v>2</v>
      </c>
      <c r="X19">
        <v>2</v>
      </c>
      <c r="Y19">
        <v>5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K19">
        <v>4</v>
      </c>
      <c r="AQ19">
        <v>2</v>
      </c>
      <c r="AS19">
        <v>3</v>
      </c>
      <c r="AT19">
        <v>18</v>
      </c>
      <c r="AU19">
        <v>17</v>
      </c>
      <c r="AV19">
        <v>17</v>
      </c>
      <c r="AW19">
        <v>3</v>
      </c>
    </row>
    <row r="20" spans="1:49" x14ac:dyDescent="0.3">
      <c r="A20" s="1">
        <v>45980.6875</v>
      </c>
      <c r="B20" s="1">
        <v>45980.69027777778</v>
      </c>
      <c r="C20">
        <v>0</v>
      </c>
      <c r="D20" t="s">
        <v>90</v>
      </c>
      <c r="E20">
        <v>100</v>
      </c>
      <c r="F20">
        <v>250</v>
      </c>
      <c r="G20">
        <v>1</v>
      </c>
      <c r="H20" s="1">
        <v>45980.69027777778</v>
      </c>
      <c r="I20" t="s">
        <v>91</v>
      </c>
      <c r="N20">
        <v>33.7485</v>
      </c>
      <c r="O20">
        <v>-84.387100000000004</v>
      </c>
      <c r="P20" t="s">
        <v>65</v>
      </c>
      <c r="Q20" t="s">
        <v>51</v>
      </c>
      <c r="S20">
        <v>1</v>
      </c>
      <c r="T20">
        <v>12</v>
      </c>
      <c r="U20">
        <v>5</v>
      </c>
      <c r="V20">
        <v>5</v>
      </c>
      <c r="W20">
        <v>1</v>
      </c>
      <c r="X20">
        <v>1</v>
      </c>
      <c r="Y20">
        <v>6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L20">
        <v>4</v>
      </c>
      <c r="AR20">
        <v>2</v>
      </c>
      <c r="AS20">
        <v>3</v>
      </c>
      <c r="AT20">
        <v>17</v>
      </c>
      <c r="AU20">
        <v>18</v>
      </c>
      <c r="AV20">
        <v>17</v>
      </c>
      <c r="AW20">
        <v>3</v>
      </c>
    </row>
    <row r="21" spans="1:49" x14ac:dyDescent="0.3">
      <c r="A21" s="1">
        <v>45980.688888888886</v>
      </c>
      <c r="B21" s="1">
        <v>45980.69027777778</v>
      </c>
      <c r="C21">
        <v>0</v>
      </c>
      <c r="D21" t="s">
        <v>92</v>
      </c>
      <c r="E21">
        <v>100</v>
      </c>
      <c r="F21">
        <v>144</v>
      </c>
      <c r="G21">
        <v>1</v>
      </c>
      <c r="H21" s="1">
        <v>45980.69027777778</v>
      </c>
      <c r="I21" t="s">
        <v>93</v>
      </c>
      <c r="N21">
        <v>29.3582</v>
      </c>
      <c r="O21">
        <v>-98.429000000000002</v>
      </c>
      <c r="P21" t="s">
        <v>65</v>
      </c>
      <c r="Q21" t="s">
        <v>51</v>
      </c>
      <c r="S21">
        <v>1</v>
      </c>
      <c r="T21">
        <v>9</v>
      </c>
      <c r="U21">
        <v>2</v>
      </c>
      <c r="V21">
        <v>5</v>
      </c>
      <c r="W21">
        <v>1</v>
      </c>
      <c r="X21">
        <v>2</v>
      </c>
      <c r="Y21" t="s">
        <v>71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3</v>
      </c>
      <c r="AG21">
        <v>3</v>
      </c>
      <c r="AH21">
        <v>3</v>
      </c>
      <c r="AI21">
        <v>4</v>
      </c>
      <c r="AM21">
        <v>2</v>
      </c>
      <c r="AN21">
        <v>2</v>
      </c>
      <c r="AO21">
        <v>2</v>
      </c>
      <c r="AS21">
        <v>3</v>
      </c>
      <c r="AT21">
        <v>17</v>
      </c>
      <c r="AU21">
        <v>19</v>
      </c>
      <c r="AV21">
        <v>18</v>
      </c>
      <c r="AW21">
        <v>3</v>
      </c>
    </row>
    <row r="22" spans="1:49" x14ac:dyDescent="0.3">
      <c r="A22" s="1">
        <v>45980.689583333333</v>
      </c>
      <c r="B22" s="1">
        <v>45980.690972222219</v>
      </c>
      <c r="C22">
        <v>0</v>
      </c>
      <c r="D22" t="s">
        <v>94</v>
      </c>
      <c r="E22">
        <v>100</v>
      </c>
      <c r="F22">
        <v>84</v>
      </c>
      <c r="G22">
        <v>1</v>
      </c>
      <c r="H22" s="1">
        <v>45980.690972222219</v>
      </c>
      <c r="I22" t="s">
        <v>95</v>
      </c>
      <c r="N22">
        <v>33.2301</v>
      </c>
      <c r="O22">
        <v>-97.131200000000007</v>
      </c>
      <c r="P22" t="s">
        <v>65</v>
      </c>
      <c r="Q22" t="s">
        <v>51</v>
      </c>
      <c r="S22">
        <v>1</v>
      </c>
      <c r="T22">
        <v>12</v>
      </c>
      <c r="U22">
        <v>3</v>
      </c>
      <c r="V22">
        <v>5</v>
      </c>
      <c r="W22">
        <v>1</v>
      </c>
      <c r="X22">
        <v>2</v>
      </c>
      <c r="Y22">
        <v>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L22">
        <v>4</v>
      </c>
      <c r="AR22">
        <v>3</v>
      </c>
      <c r="AS22">
        <v>2</v>
      </c>
      <c r="AT22">
        <v>18</v>
      </c>
      <c r="AU22">
        <v>16</v>
      </c>
      <c r="AV22">
        <v>18</v>
      </c>
      <c r="AW22">
        <v>3</v>
      </c>
    </row>
    <row r="23" spans="1:49" x14ac:dyDescent="0.3">
      <c r="A23" s="1">
        <v>45980.689583333333</v>
      </c>
      <c r="B23" s="1">
        <v>45980.691666666666</v>
      </c>
      <c r="C23">
        <v>0</v>
      </c>
      <c r="D23" t="s">
        <v>94</v>
      </c>
      <c r="E23">
        <v>100</v>
      </c>
      <c r="F23">
        <v>216</v>
      </c>
      <c r="G23">
        <v>1</v>
      </c>
      <c r="H23" s="1">
        <v>45980.692361111112</v>
      </c>
      <c r="I23" t="s">
        <v>96</v>
      </c>
      <c r="N23">
        <v>33.2301</v>
      </c>
      <c r="O23">
        <v>-97.131200000000007</v>
      </c>
      <c r="P23" t="s">
        <v>65</v>
      </c>
      <c r="Q23" t="s">
        <v>51</v>
      </c>
      <c r="S23">
        <v>1</v>
      </c>
      <c r="T23">
        <v>12</v>
      </c>
      <c r="U23">
        <v>4</v>
      </c>
      <c r="V23">
        <v>5</v>
      </c>
      <c r="W23">
        <v>2</v>
      </c>
      <c r="X23">
        <v>1</v>
      </c>
      <c r="Y23">
        <v>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L23">
        <v>1</v>
      </c>
      <c r="AR23">
        <v>1</v>
      </c>
      <c r="AS23">
        <v>3</v>
      </c>
      <c r="AT23">
        <v>16</v>
      </c>
      <c r="AU23">
        <v>16</v>
      </c>
      <c r="AV23">
        <v>16</v>
      </c>
      <c r="AW23">
        <v>3</v>
      </c>
    </row>
    <row r="24" spans="1:49" x14ac:dyDescent="0.3">
      <c r="A24" s="1">
        <v>45980.694444444445</v>
      </c>
      <c r="B24" s="1">
        <v>45980.696527777778</v>
      </c>
      <c r="C24">
        <v>0</v>
      </c>
      <c r="D24" t="s">
        <v>97</v>
      </c>
      <c r="E24">
        <v>100</v>
      </c>
      <c r="F24">
        <v>147</v>
      </c>
      <c r="G24">
        <v>1</v>
      </c>
      <c r="H24" s="1">
        <v>45980.696527777778</v>
      </c>
      <c r="I24" t="s">
        <v>98</v>
      </c>
      <c r="N24">
        <v>29.469799999999999</v>
      </c>
      <c r="O24">
        <v>-98.535700000000006</v>
      </c>
      <c r="P24" t="s">
        <v>65</v>
      </c>
      <c r="Q24" t="s">
        <v>51</v>
      </c>
      <c r="S24">
        <v>1</v>
      </c>
      <c r="T24">
        <v>6</v>
      </c>
      <c r="U24">
        <v>4</v>
      </c>
      <c r="V24">
        <v>4</v>
      </c>
      <c r="W24">
        <v>2</v>
      </c>
      <c r="X24">
        <v>2</v>
      </c>
      <c r="Y24">
        <v>5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K24">
        <v>5</v>
      </c>
      <c r="AQ24">
        <v>1</v>
      </c>
      <c r="AS24">
        <v>3</v>
      </c>
      <c r="AT24">
        <v>16</v>
      </c>
      <c r="AU24">
        <v>18</v>
      </c>
      <c r="AV24">
        <v>19</v>
      </c>
      <c r="AW24">
        <v>3</v>
      </c>
    </row>
    <row r="25" spans="1:49" x14ac:dyDescent="0.3">
      <c r="A25" s="1">
        <v>45980.695833333331</v>
      </c>
      <c r="B25" s="1">
        <v>45980.697222222225</v>
      </c>
      <c r="C25">
        <v>0</v>
      </c>
      <c r="D25" t="s">
        <v>77</v>
      </c>
      <c r="E25">
        <v>100</v>
      </c>
      <c r="F25">
        <v>116</v>
      </c>
      <c r="G25">
        <v>1</v>
      </c>
      <c r="H25" s="1">
        <v>45980.697222222225</v>
      </c>
      <c r="I25" t="s">
        <v>99</v>
      </c>
      <c r="N25">
        <v>33.2301</v>
      </c>
      <c r="O25">
        <v>-97.131200000000007</v>
      </c>
      <c r="P25" t="s">
        <v>65</v>
      </c>
      <c r="Q25" t="s">
        <v>51</v>
      </c>
      <c r="S25">
        <v>1</v>
      </c>
      <c r="T25">
        <v>6</v>
      </c>
      <c r="U25">
        <v>3</v>
      </c>
      <c r="V25">
        <v>5</v>
      </c>
      <c r="W25">
        <v>1</v>
      </c>
      <c r="X25">
        <v>1</v>
      </c>
      <c r="Y25" t="s">
        <v>100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3</v>
      </c>
      <c r="AG25">
        <v>4</v>
      </c>
      <c r="AK25">
        <v>3</v>
      </c>
      <c r="AL25">
        <v>2</v>
      </c>
      <c r="AM25">
        <v>2</v>
      </c>
      <c r="AQ25">
        <v>2</v>
      </c>
      <c r="AR25">
        <v>2</v>
      </c>
      <c r="AS25">
        <v>3</v>
      </c>
      <c r="AT25">
        <v>19</v>
      </c>
      <c r="AU25">
        <v>19</v>
      </c>
      <c r="AV25">
        <v>19</v>
      </c>
      <c r="AW25">
        <v>3</v>
      </c>
    </row>
    <row r="26" spans="1:49" x14ac:dyDescent="0.3">
      <c r="A26" s="1">
        <v>45980.698611111111</v>
      </c>
      <c r="B26" s="1">
        <v>45980.699305555558</v>
      </c>
      <c r="C26">
        <v>0</v>
      </c>
      <c r="D26" t="s">
        <v>77</v>
      </c>
      <c r="E26">
        <v>100</v>
      </c>
      <c r="F26">
        <v>81</v>
      </c>
      <c r="G26">
        <v>1</v>
      </c>
      <c r="H26" s="1">
        <v>45980.699305555558</v>
      </c>
      <c r="I26" t="s">
        <v>101</v>
      </c>
      <c r="N26">
        <v>33.2301</v>
      </c>
      <c r="O26">
        <v>-97.131200000000007</v>
      </c>
      <c r="P26" t="s">
        <v>65</v>
      </c>
      <c r="Q26" t="s">
        <v>51</v>
      </c>
      <c r="S26">
        <v>1</v>
      </c>
      <c r="T26">
        <v>2</v>
      </c>
      <c r="U26">
        <v>5</v>
      </c>
      <c r="V26">
        <v>5</v>
      </c>
      <c r="W26">
        <v>2</v>
      </c>
      <c r="X26">
        <v>1</v>
      </c>
      <c r="Y26">
        <v>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L26">
        <v>5</v>
      </c>
      <c r="AR26">
        <v>1</v>
      </c>
      <c r="AS26">
        <v>1</v>
      </c>
      <c r="AT26">
        <v>17</v>
      </c>
      <c r="AU26">
        <v>17</v>
      </c>
      <c r="AV26">
        <v>17</v>
      </c>
      <c r="AW26">
        <v>3</v>
      </c>
    </row>
    <row r="27" spans="1:49" x14ac:dyDescent="0.3">
      <c r="A27" s="1">
        <v>45980.698611111111</v>
      </c>
      <c r="B27" s="1">
        <v>45980.7</v>
      </c>
      <c r="C27">
        <v>0</v>
      </c>
      <c r="D27" t="s">
        <v>94</v>
      </c>
      <c r="E27">
        <v>100</v>
      </c>
      <c r="F27">
        <v>99</v>
      </c>
      <c r="G27">
        <v>1</v>
      </c>
      <c r="H27" s="1">
        <v>45980.7</v>
      </c>
      <c r="I27" t="s">
        <v>102</v>
      </c>
      <c r="N27">
        <v>33.2301</v>
      </c>
      <c r="O27">
        <v>-97.131200000000007</v>
      </c>
      <c r="P27" t="s">
        <v>65</v>
      </c>
      <c r="Q27" t="s">
        <v>51</v>
      </c>
      <c r="S27">
        <v>1</v>
      </c>
      <c r="T27">
        <v>9</v>
      </c>
      <c r="U27">
        <v>5</v>
      </c>
      <c r="V27">
        <v>5</v>
      </c>
      <c r="W27">
        <v>2</v>
      </c>
      <c r="X27">
        <v>1</v>
      </c>
      <c r="Y27">
        <v>5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K27">
        <v>4</v>
      </c>
      <c r="AQ27">
        <v>1</v>
      </c>
      <c r="AS27">
        <v>3</v>
      </c>
      <c r="AT27">
        <v>18</v>
      </c>
      <c r="AU27">
        <v>16</v>
      </c>
      <c r="AV27">
        <v>17</v>
      </c>
      <c r="AW27">
        <v>3</v>
      </c>
    </row>
    <row r="28" spans="1:49" x14ac:dyDescent="0.3">
      <c r="A28" s="1">
        <v>45980.699305555558</v>
      </c>
      <c r="B28" s="1">
        <v>45980.701388888891</v>
      </c>
      <c r="C28">
        <v>0</v>
      </c>
      <c r="D28" t="s">
        <v>103</v>
      </c>
      <c r="E28">
        <v>100</v>
      </c>
      <c r="F28">
        <v>167</v>
      </c>
      <c r="G28">
        <v>1</v>
      </c>
      <c r="H28" s="1">
        <v>45980.701388888891</v>
      </c>
      <c r="I28" t="s">
        <v>104</v>
      </c>
      <c r="N28">
        <v>32.868699999999997</v>
      </c>
      <c r="O28">
        <v>-96.8626</v>
      </c>
      <c r="P28" t="s">
        <v>65</v>
      </c>
      <c r="Q28" t="s">
        <v>51</v>
      </c>
      <c r="S28">
        <v>1</v>
      </c>
      <c r="T28">
        <v>11</v>
      </c>
      <c r="U28">
        <v>3</v>
      </c>
      <c r="V28">
        <v>3</v>
      </c>
      <c r="W28">
        <v>1</v>
      </c>
      <c r="X28">
        <v>2</v>
      </c>
      <c r="Y28" t="s">
        <v>105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6</v>
      </c>
      <c r="AG28">
        <v>4</v>
      </c>
      <c r="AH28">
        <v>3</v>
      </c>
      <c r="AI28">
        <v>3</v>
      </c>
      <c r="AJ28">
        <v>4</v>
      </c>
      <c r="AK28">
        <v>5</v>
      </c>
      <c r="AL28">
        <v>5</v>
      </c>
      <c r="AM28">
        <v>2</v>
      </c>
      <c r="AN28">
        <v>3</v>
      </c>
      <c r="AO28">
        <v>2</v>
      </c>
      <c r="AP28">
        <v>2</v>
      </c>
      <c r="AQ28">
        <v>1</v>
      </c>
      <c r="AR28">
        <v>1</v>
      </c>
      <c r="AS28">
        <v>3</v>
      </c>
      <c r="AT28">
        <v>18</v>
      </c>
      <c r="AU28">
        <v>19</v>
      </c>
      <c r="AV28">
        <v>18</v>
      </c>
      <c r="AW28">
        <v>3</v>
      </c>
    </row>
    <row r="29" spans="1:49" x14ac:dyDescent="0.3">
      <c r="A29" s="1">
        <v>45980.714583333334</v>
      </c>
      <c r="B29" s="1">
        <v>45980.715277777781</v>
      </c>
      <c r="C29">
        <v>0</v>
      </c>
      <c r="D29" t="s">
        <v>106</v>
      </c>
      <c r="E29">
        <v>100</v>
      </c>
      <c r="F29">
        <v>69</v>
      </c>
      <c r="G29">
        <v>1</v>
      </c>
      <c r="H29" s="1">
        <v>45980.715277777781</v>
      </c>
      <c r="I29" t="s">
        <v>107</v>
      </c>
      <c r="N29">
        <v>32.7836</v>
      </c>
      <c r="O29">
        <v>-96.867400000000004</v>
      </c>
      <c r="P29" t="s">
        <v>65</v>
      </c>
      <c r="Q29" t="s">
        <v>51</v>
      </c>
      <c r="S29">
        <v>1</v>
      </c>
      <c r="T29">
        <v>12</v>
      </c>
      <c r="U29">
        <v>1</v>
      </c>
      <c r="V29">
        <v>4</v>
      </c>
      <c r="W29">
        <v>1</v>
      </c>
      <c r="X29">
        <v>1</v>
      </c>
      <c r="Y29">
        <v>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L29">
        <v>3</v>
      </c>
      <c r="AR29">
        <v>3</v>
      </c>
      <c r="AS29">
        <v>3</v>
      </c>
      <c r="AT29">
        <v>17</v>
      </c>
      <c r="AU29">
        <v>18</v>
      </c>
      <c r="AV29">
        <v>18</v>
      </c>
      <c r="AW29">
        <v>3</v>
      </c>
    </row>
    <row r="30" spans="1:49" x14ac:dyDescent="0.3">
      <c r="A30" s="1">
        <v>45980.740972222222</v>
      </c>
      <c r="B30" s="1">
        <v>45980.745138888888</v>
      </c>
      <c r="C30">
        <v>0</v>
      </c>
      <c r="D30" t="s">
        <v>108</v>
      </c>
      <c r="E30">
        <v>100</v>
      </c>
      <c r="F30">
        <v>345</v>
      </c>
      <c r="G30">
        <v>1</v>
      </c>
      <c r="H30" s="1">
        <v>45980.745138888888</v>
      </c>
      <c r="I30" t="s">
        <v>109</v>
      </c>
      <c r="N30">
        <v>35.045400000000001</v>
      </c>
      <c r="O30">
        <v>-85.308899999999994</v>
      </c>
      <c r="P30" t="s">
        <v>65</v>
      </c>
      <c r="Q30" t="s">
        <v>51</v>
      </c>
      <c r="S30">
        <v>1</v>
      </c>
      <c r="T30">
        <v>11</v>
      </c>
      <c r="U30">
        <v>3</v>
      </c>
      <c r="V30">
        <v>5</v>
      </c>
      <c r="W30">
        <v>2</v>
      </c>
      <c r="X30">
        <v>2</v>
      </c>
      <c r="Y30" t="s">
        <v>110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5</v>
      </c>
      <c r="AG30">
        <v>2</v>
      </c>
      <c r="AH30">
        <v>2</v>
      </c>
      <c r="AI30">
        <v>2</v>
      </c>
      <c r="AJ30">
        <v>3</v>
      </c>
      <c r="AK30">
        <v>4</v>
      </c>
      <c r="AM30">
        <v>2</v>
      </c>
      <c r="AN30">
        <v>3</v>
      </c>
      <c r="AO30">
        <v>2</v>
      </c>
      <c r="AP30">
        <v>2</v>
      </c>
      <c r="AQ30">
        <v>2</v>
      </c>
      <c r="AS30">
        <v>4</v>
      </c>
      <c r="AT30">
        <v>16</v>
      </c>
      <c r="AU30">
        <v>16</v>
      </c>
      <c r="AV30">
        <v>19</v>
      </c>
      <c r="AW30">
        <v>3</v>
      </c>
    </row>
    <row r="31" spans="1:49" x14ac:dyDescent="0.3">
      <c r="A31" s="1">
        <v>45980.775694444441</v>
      </c>
      <c r="B31" s="1">
        <v>45980.796527777777</v>
      </c>
      <c r="C31">
        <v>0</v>
      </c>
      <c r="D31" t="s">
        <v>111</v>
      </c>
      <c r="E31">
        <v>100</v>
      </c>
      <c r="F31">
        <v>1782</v>
      </c>
      <c r="G31">
        <v>1</v>
      </c>
      <c r="H31" s="1">
        <v>45980.796527777777</v>
      </c>
      <c r="I31" t="s">
        <v>112</v>
      </c>
      <c r="N31">
        <v>32.779699999999998</v>
      </c>
      <c r="O31">
        <v>-96.802199999999999</v>
      </c>
      <c r="P31" t="s">
        <v>65</v>
      </c>
      <c r="Q31" t="s">
        <v>51</v>
      </c>
      <c r="S31">
        <v>1</v>
      </c>
      <c r="T31">
        <v>6</v>
      </c>
      <c r="U31">
        <v>1</v>
      </c>
      <c r="V31">
        <v>5</v>
      </c>
      <c r="W31">
        <v>1</v>
      </c>
      <c r="X31">
        <v>2</v>
      </c>
      <c r="Y31" t="s">
        <v>113</v>
      </c>
      <c r="Z31">
        <v>1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3</v>
      </c>
      <c r="AG31">
        <v>4</v>
      </c>
      <c r="AJ31">
        <v>4</v>
      </c>
      <c r="AK31">
        <v>4</v>
      </c>
      <c r="AM31">
        <v>3</v>
      </c>
      <c r="AP31">
        <v>1</v>
      </c>
      <c r="AQ31">
        <v>3</v>
      </c>
      <c r="AS31">
        <v>3</v>
      </c>
      <c r="AT31">
        <v>17</v>
      </c>
      <c r="AU31">
        <v>18</v>
      </c>
      <c r="AV31">
        <v>17</v>
      </c>
      <c r="AW31">
        <v>3</v>
      </c>
    </row>
    <row r="32" spans="1:49" x14ac:dyDescent="0.3">
      <c r="A32" s="1">
        <v>45981.574999999997</v>
      </c>
      <c r="B32" s="1">
        <v>45981.576388888891</v>
      </c>
      <c r="C32">
        <v>0</v>
      </c>
      <c r="D32" t="s">
        <v>114</v>
      </c>
      <c r="E32">
        <v>100</v>
      </c>
      <c r="F32">
        <v>91</v>
      </c>
      <c r="G32">
        <v>1</v>
      </c>
      <c r="H32" s="1">
        <v>45981.576388888891</v>
      </c>
      <c r="I32" t="s">
        <v>115</v>
      </c>
      <c r="N32">
        <v>33.7485</v>
      </c>
      <c r="O32">
        <v>-84.387100000000004</v>
      </c>
      <c r="P32" t="s">
        <v>65</v>
      </c>
      <c r="Q32" t="s">
        <v>51</v>
      </c>
      <c r="S32">
        <v>1</v>
      </c>
      <c r="T32">
        <v>4</v>
      </c>
      <c r="U32">
        <v>4</v>
      </c>
      <c r="V32">
        <v>5</v>
      </c>
      <c r="W32">
        <v>2</v>
      </c>
      <c r="X32">
        <v>2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4</v>
      </c>
      <c r="AM32">
        <v>1</v>
      </c>
      <c r="AS32">
        <v>2</v>
      </c>
      <c r="AT32">
        <v>18</v>
      </c>
      <c r="AU32">
        <v>18</v>
      </c>
      <c r="AV32">
        <v>18</v>
      </c>
      <c r="AW32">
        <v>3</v>
      </c>
    </row>
    <row r="33" spans="1:49" x14ac:dyDescent="0.3">
      <c r="A33" s="1">
        <v>45980.664583333331</v>
      </c>
      <c r="B33" s="1">
        <v>45980.671527777777</v>
      </c>
      <c r="C33">
        <v>0</v>
      </c>
      <c r="D33" t="s">
        <v>116</v>
      </c>
      <c r="E33">
        <v>100</v>
      </c>
      <c r="F33">
        <v>591</v>
      </c>
      <c r="G33">
        <v>1</v>
      </c>
      <c r="H33" s="1">
        <v>45980.671527777777</v>
      </c>
      <c r="I33" t="s">
        <v>117</v>
      </c>
      <c r="N33">
        <v>50.116900000000001</v>
      </c>
      <c r="O33">
        <v>8.6837</v>
      </c>
      <c r="P33" t="s">
        <v>70</v>
      </c>
      <c r="Q33" t="s">
        <v>51</v>
      </c>
      <c r="S33">
        <v>2</v>
      </c>
      <c r="T33">
        <v>3</v>
      </c>
      <c r="U33">
        <v>2</v>
      </c>
      <c r="V33">
        <v>4</v>
      </c>
      <c r="W33">
        <v>1</v>
      </c>
      <c r="X33">
        <v>2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3</v>
      </c>
      <c r="AM33">
        <v>1</v>
      </c>
      <c r="AS33">
        <v>3</v>
      </c>
      <c r="AT33">
        <v>16</v>
      </c>
      <c r="AU33">
        <v>17</v>
      </c>
      <c r="AV33">
        <v>19</v>
      </c>
      <c r="AW33">
        <v>4</v>
      </c>
    </row>
    <row r="34" spans="1:49" x14ac:dyDescent="0.3">
      <c r="A34" s="1">
        <v>45980.672222222223</v>
      </c>
      <c r="B34" s="1">
        <v>45980.673611111109</v>
      </c>
      <c r="C34">
        <v>0</v>
      </c>
      <c r="D34" t="s">
        <v>118</v>
      </c>
      <c r="E34">
        <v>100</v>
      </c>
      <c r="F34">
        <v>121</v>
      </c>
      <c r="G34">
        <v>1</v>
      </c>
      <c r="H34" s="1">
        <v>45980.673611111109</v>
      </c>
      <c r="I34" t="s">
        <v>119</v>
      </c>
      <c r="N34">
        <v>40.499400000000001</v>
      </c>
      <c r="O34">
        <v>-80.195999999999998</v>
      </c>
      <c r="P34" t="s">
        <v>70</v>
      </c>
      <c r="Q34" t="s">
        <v>51</v>
      </c>
      <c r="S34">
        <v>2</v>
      </c>
      <c r="T34">
        <v>4</v>
      </c>
      <c r="U34">
        <v>3</v>
      </c>
      <c r="V34">
        <v>5</v>
      </c>
      <c r="W34">
        <v>1</v>
      </c>
      <c r="X34">
        <v>1</v>
      </c>
      <c r="Y34" t="s">
        <v>71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3</v>
      </c>
      <c r="AG34">
        <v>2</v>
      </c>
      <c r="AH34">
        <v>2</v>
      </c>
      <c r="AI34">
        <v>2</v>
      </c>
      <c r="AM34">
        <v>2</v>
      </c>
      <c r="AN34">
        <v>2</v>
      </c>
      <c r="AO34">
        <v>2</v>
      </c>
      <c r="AS34">
        <v>3</v>
      </c>
      <c r="AT34">
        <v>19</v>
      </c>
      <c r="AU34">
        <v>16</v>
      </c>
      <c r="AV34">
        <v>18</v>
      </c>
      <c r="AW34">
        <v>4</v>
      </c>
    </row>
    <row r="35" spans="1:49" x14ac:dyDescent="0.3">
      <c r="A35" s="1">
        <v>45980.683333333334</v>
      </c>
      <c r="B35" s="1">
        <v>45980.685416666667</v>
      </c>
      <c r="C35">
        <v>0</v>
      </c>
      <c r="D35" t="s">
        <v>120</v>
      </c>
      <c r="E35">
        <v>100</v>
      </c>
      <c r="F35">
        <v>138</v>
      </c>
      <c r="G35">
        <v>1</v>
      </c>
      <c r="H35" s="1">
        <v>45980.685416666667</v>
      </c>
      <c r="I35" t="s">
        <v>121</v>
      </c>
      <c r="N35">
        <v>29.455300000000001</v>
      </c>
      <c r="O35">
        <v>-98.567700000000002</v>
      </c>
      <c r="P35" t="s">
        <v>65</v>
      </c>
      <c r="Q35" t="s">
        <v>51</v>
      </c>
      <c r="S35">
        <v>1</v>
      </c>
      <c r="T35">
        <v>3</v>
      </c>
      <c r="U35">
        <v>5</v>
      </c>
      <c r="V35">
        <v>5</v>
      </c>
      <c r="W35">
        <v>2</v>
      </c>
      <c r="X35">
        <v>1</v>
      </c>
      <c r="Y35" t="s">
        <v>79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3</v>
      </c>
      <c r="AH35">
        <v>3</v>
      </c>
      <c r="AM35">
        <v>2</v>
      </c>
      <c r="AN35">
        <v>2</v>
      </c>
      <c r="AS35">
        <v>3</v>
      </c>
      <c r="AT35">
        <v>17</v>
      </c>
      <c r="AU35">
        <v>18</v>
      </c>
      <c r="AV35">
        <v>18</v>
      </c>
      <c r="AW35">
        <v>4</v>
      </c>
    </row>
    <row r="36" spans="1:49" x14ac:dyDescent="0.3">
      <c r="A36" s="1">
        <v>45980.69027777778</v>
      </c>
      <c r="B36" s="1">
        <v>45980.692361111112</v>
      </c>
      <c r="C36">
        <v>0</v>
      </c>
      <c r="D36" t="s">
        <v>122</v>
      </c>
      <c r="E36">
        <v>100</v>
      </c>
      <c r="F36">
        <v>220</v>
      </c>
      <c r="G36">
        <v>1</v>
      </c>
      <c r="H36" s="1">
        <v>45980.692361111112</v>
      </c>
      <c r="I36" t="s">
        <v>123</v>
      </c>
      <c r="N36">
        <v>29.469799999999999</v>
      </c>
      <c r="O36">
        <v>-98.535700000000006</v>
      </c>
      <c r="P36" t="s">
        <v>65</v>
      </c>
      <c r="Q36" t="s">
        <v>51</v>
      </c>
      <c r="S36">
        <v>1</v>
      </c>
      <c r="T36">
        <v>12</v>
      </c>
      <c r="U36">
        <v>4</v>
      </c>
      <c r="V36">
        <v>5</v>
      </c>
      <c r="W36">
        <v>1</v>
      </c>
      <c r="X36">
        <v>1</v>
      </c>
      <c r="Y36">
        <v>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L36">
        <v>5</v>
      </c>
      <c r="AR36">
        <v>3</v>
      </c>
      <c r="AS36">
        <v>4</v>
      </c>
      <c r="AT36">
        <v>16</v>
      </c>
      <c r="AU36">
        <v>17</v>
      </c>
      <c r="AV36">
        <v>17</v>
      </c>
      <c r="AW36">
        <v>4</v>
      </c>
    </row>
    <row r="37" spans="1:49" x14ac:dyDescent="0.3">
      <c r="A37" s="1">
        <v>45980.695138888892</v>
      </c>
      <c r="B37" s="1">
        <v>45980.696527777778</v>
      </c>
      <c r="C37">
        <v>0</v>
      </c>
      <c r="D37" t="s">
        <v>124</v>
      </c>
      <c r="E37">
        <v>100</v>
      </c>
      <c r="F37">
        <v>127</v>
      </c>
      <c r="G37">
        <v>1</v>
      </c>
      <c r="H37" s="1">
        <v>45980.696527777778</v>
      </c>
      <c r="I37" t="s">
        <v>125</v>
      </c>
      <c r="N37">
        <v>32.779699999999998</v>
      </c>
      <c r="O37">
        <v>-96.802199999999999</v>
      </c>
      <c r="P37" t="s">
        <v>65</v>
      </c>
      <c r="Q37" t="s">
        <v>51</v>
      </c>
      <c r="S37">
        <v>1</v>
      </c>
      <c r="T37">
        <v>9</v>
      </c>
      <c r="U37">
        <v>4</v>
      </c>
      <c r="V37">
        <v>6</v>
      </c>
      <c r="W37">
        <v>2</v>
      </c>
      <c r="X37">
        <v>1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5</v>
      </c>
      <c r="AM37">
        <v>1</v>
      </c>
      <c r="AS37">
        <v>1</v>
      </c>
      <c r="AT37">
        <v>16</v>
      </c>
      <c r="AU37">
        <v>16</v>
      </c>
      <c r="AV37">
        <v>16</v>
      </c>
      <c r="AW37">
        <v>4</v>
      </c>
    </row>
    <row r="38" spans="1:49" x14ac:dyDescent="0.3">
      <c r="A38" s="1">
        <v>45980.695138888892</v>
      </c>
      <c r="B38" s="1">
        <v>45980.696527777778</v>
      </c>
      <c r="C38">
        <v>0</v>
      </c>
      <c r="D38" t="s">
        <v>126</v>
      </c>
      <c r="E38">
        <v>100</v>
      </c>
      <c r="F38">
        <v>130</v>
      </c>
      <c r="G38">
        <v>1</v>
      </c>
      <c r="H38" s="1">
        <v>45980.696527777778</v>
      </c>
      <c r="I38" t="s">
        <v>127</v>
      </c>
      <c r="N38">
        <v>37.750999999999998</v>
      </c>
      <c r="O38">
        <v>-97.822000000000003</v>
      </c>
      <c r="P38" t="s">
        <v>65</v>
      </c>
      <c r="Q38" t="s">
        <v>51</v>
      </c>
      <c r="S38">
        <v>1</v>
      </c>
      <c r="T38">
        <v>3</v>
      </c>
      <c r="U38">
        <v>5</v>
      </c>
      <c r="V38">
        <v>5</v>
      </c>
      <c r="W38">
        <v>2</v>
      </c>
      <c r="X38">
        <v>1</v>
      </c>
      <c r="Y38">
        <v>3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I38">
        <v>3</v>
      </c>
      <c r="AO38">
        <v>1</v>
      </c>
      <c r="AS38">
        <v>4</v>
      </c>
      <c r="AT38">
        <v>20</v>
      </c>
      <c r="AU38">
        <v>17</v>
      </c>
      <c r="AV38">
        <v>18</v>
      </c>
      <c r="AW38">
        <v>4</v>
      </c>
    </row>
    <row r="39" spans="1:49" x14ac:dyDescent="0.3">
      <c r="A39" s="1">
        <v>45980.695833333331</v>
      </c>
      <c r="B39" s="1">
        <v>45980.697222222225</v>
      </c>
      <c r="C39">
        <v>0</v>
      </c>
      <c r="D39" t="s">
        <v>77</v>
      </c>
      <c r="E39">
        <v>100</v>
      </c>
      <c r="F39">
        <v>87</v>
      </c>
      <c r="G39">
        <v>1</v>
      </c>
      <c r="H39" s="1">
        <v>45980.697222222225</v>
      </c>
      <c r="I39" t="s">
        <v>128</v>
      </c>
      <c r="N39">
        <v>33.2301</v>
      </c>
      <c r="O39">
        <v>-97.131200000000007</v>
      </c>
      <c r="P39" t="s">
        <v>65</v>
      </c>
      <c r="Q39" t="s">
        <v>51</v>
      </c>
      <c r="S39">
        <v>1</v>
      </c>
      <c r="T39">
        <v>6</v>
      </c>
      <c r="U39">
        <v>3</v>
      </c>
      <c r="V39">
        <v>5</v>
      </c>
      <c r="W39">
        <v>2</v>
      </c>
      <c r="X39">
        <v>2</v>
      </c>
      <c r="Y39" t="s">
        <v>79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4</v>
      </c>
      <c r="AH39">
        <v>4</v>
      </c>
      <c r="AM39">
        <v>3</v>
      </c>
      <c r="AN39">
        <v>3</v>
      </c>
      <c r="AS39">
        <v>3</v>
      </c>
      <c r="AT39">
        <v>17</v>
      </c>
      <c r="AU39">
        <v>19</v>
      </c>
      <c r="AV39">
        <v>18</v>
      </c>
      <c r="AW39">
        <v>4</v>
      </c>
    </row>
    <row r="40" spans="1:49" x14ac:dyDescent="0.3">
      <c r="A40" s="1">
        <v>45980.694444444445</v>
      </c>
      <c r="B40" s="1">
        <v>45980.697916666664</v>
      </c>
      <c r="C40">
        <v>0</v>
      </c>
      <c r="D40" t="s">
        <v>129</v>
      </c>
      <c r="E40">
        <v>100</v>
      </c>
      <c r="F40">
        <v>277</v>
      </c>
      <c r="G40">
        <v>1</v>
      </c>
      <c r="H40" s="1">
        <v>45980.697916666664</v>
      </c>
      <c r="I40" t="s">
        <v>130</v>
      </c>
      <c r="N40">
        <v>32.7836</v>
      </c>
      <c r="O40">
        <v>-96.867400000000004</v>
      </c>
      <c r="P40" t="s">
        <v>65</v>
      </c>
      <c r="Q40" t="s">
        <v>51</v>
      </c>
      <c r="S40">
        <v>1</v>
      </c>
      <c r="T40">
        <v>11</v>
      </c>
      <c r="U40">
        <v>3</v>
      </c>
      <c r="V40">
        <v>5</v>
      </c>
      <c r="W40">
        <v>2</v>
      </c>
      <c r="X40">
        <v>1</v>
      </c>
      <c r="Y40">
        <v>5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K40">
        <v>4</v>
      </c>
      <c r="AQ40">
        <v>2</v>
      </c>
      <c r="AS40">
        <v>4</v>
      </c>
      <c r="AT40">
        <v>17</v>
      </c>
      <c r="AU40">
        <v>16</v>
      </c>
      <c r="AV40">
        <v>16</v>
      </c>
      <c r="AW40">
        <v>4</v>
      </c>
    </row>
    <row r="41" spans="1:49" x14ac:dyDescent="0.3">
      <c r="A41" s="1">
        <v>45980.697916666664</v>
      </c>
      <c r="B41" s="1">
        <v>45980.7</v>
      </c>
      <c r="C41">
        <v>0</v>
      </c>
      <c r="D41" t="s">
        <v>131</v>
      </c>
      <c r="E41">
        <v>100</v>
      </c>
      <c r="F41">
        <v>170</v>
      </c>
      <c r="G41">
        <v>1</v>
      </c>
      <c r="H41" s="1">
        <v>45980.7</v>
      </c>
      <c r="I41" t="s">
        <v>132</v>
      </c>
      <c r="N41">
        <v>32.837200000000003</v>
      </c>
      <c r="O41">
        <v>-96.769000000000005</v>
      </c>
      <c r="P41" t="s">
        <v>65</v>
      </c>
      <c r="Q41" t="s">
        <v>51</v>
      </c>
      <c r="S41">
        <v>2</v>
      </c>
      <c r="T41">
        <v>6</v>
      </c>
      <c r="U41">
        <v>2</v>
      </c>
      <c r="V41">
        <v>2</v>
      </c>
      <c r="W41">
        <v>2</v>
      </c>
      <c r="X41">
        <v>2</v>
      </c>
      <c r="Y41" t="s">
        <v>133</v>
      </c>
      <c r="Z41">
        <v>0</v>
      </c>
      <c r="AA41">
        <v>1</v>
      </c>
      <c r="AB41">
        <v>0</v>
      </c>
      <c r="AC41">
        <v>0</v>
      </c>
      <c r="AD41">
        <v>1</v>
      </c>
      <c r="AE41">
        <v>0</v>
      </c>
      <c r="AF41">
        <v>2</v>
      </c>
      <c r="AH41">
        <v>4</v>
      </c>
      <c r="AK41">
        <v>4</v>
      </c>
      <c r="AN41">
        <v>3</v>
      </c>
      <c r="AQ41">
        <v>4</v>
      </c>
      <c r="AS41">
        <v>4</v>
      </c>
      <c r="AT41">
        <v>17</v>
      </c>
      <c r="AU41">
        <v>20</v>
      </c>
      <c r="AV41">
        <v>17</v>
      </c>
      <c r="AW41">
        <v>4</v>
      </c>
    </row>
    <row r="42" spans="1:49" x14ac:dyDescent="0.3">
      <c r="A42" s="1">
        <v>45980.705555555556</v>
      </c>
      <c r="B42" s="1">
        <v>45980.707638888889</v>
      </c>
      <c r="C42">
        <v>0</v>
      </c>
      <c r="D42" t="s">
        <v>134</v>
      </c>
      <c r="E42">
        <v>100</v>
      </c>
      <c r="F42">
        <v>155</v>
      </c>
      <c r="G42">
        <v>1</v>
      </c>
      <c r="H42" s="1">
        <v>45980.707638888889</v>
      </c>
      <c r="I42" t="s">
        <v>135</v>
      </c>
      <c r="N42">
        <v>32.800800000000002</v>
      </c>
      <c r="O42">
        <v>-96.788399999999996</v>
      </c>
      <c r="P42" t="s">
        <v>70</v>
      </c>
      <c r="Q42" t="s">
        <v>51</v>
      </c>
      <c r="S42">
        <v>1</v>
      </c>
      <c r="T42">
        <v>3</v>
      </c>
      <c r="U42">
        <v>4</v>
      </c>
      <c r="V42">
        <v>6</v>
      </c>
      <c r="W42">
        <v>2</v>
      </c>
      <c r="X42">
        <v>1</v>
      </c>
      <c r="Y42">
        <v>2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H42">
        <v>5</v>
      </c>
      <c r="AN42">
        <v>1</v>
      </c>
      <c r="AS42">
        <v>3</v>
      </c>
      <c r="AT42">
        <v>17</v>
      </c>
      <c r="AU42">
        <v>17</v>
      </c>
      <c r="AV42">
        <v>17</v>
      </c>
      <c r="AW42">
        <v>4</v>
      </c>
    </row>
    <row r="43" spans="1:49" x14ac:dyDescent="0.3">
      <c r="A43" s="1">
        <v>45980.710416666669</v>
      </c>
      <c r="B43" s="1">
        <v>45980.712500000001</v>
      </c>
      <c r="C43">
        <v>0</v>
      </c>
      <c r="D43" t="s">
        <v>136</v>
      </c>
      <c r="E43">
        <v>100</v>
      </c>
      <c r="F43">
        <v>185</v>
      </c>
      <c r="G43">
        <v>1</v>
      </c>
      <c r="H43" s="1">
        <v>45980.712500000001</v>
      </c>
      <c r="I43" t="s">
        <v>137</v>
      </c>
      <c r="N43">
        <v>32.750700000000002</v>
      </c>
      <c r="O43">
        <v>-97.209500000000006</v>
      </c>
      <c r="P43" t="s">
        <v>70</v>
      </c>
      <c r="Q43" t="s">
        <v>51</v>
      </c>
      <c r="S43">
        <v>2</v>
      </c>
      <c r="T43">
        <v>3</v>
      </c>
      <c r="U43">
        <v>4</v>
      </c>
      <c r="V43">
        <v>5</v>
      </c>
      <c r="W43">
        <v>1</v>
      </c>
      <c r="X43">
        <v>2</v>
      </c>
      <c r="Y43">
        <v>2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H43">
        <v>3</v>
      </c>
      <c r="AN43">
        <v>3</v>
      </c>
      <c r="AS43">
        <v>3</v>
      </c>
      <c r="AT43">
        <v>17</v>
      </c>
      <c r="AU43">
        <v>17</v>
      </c>
      <c r="AV43">
        <v>17</v>
      </c>
      <c r="AW43">
        <v>4</v>
      </c>
    </row>
    <row r="44" spans="1:49" x14ac:dyDescent="0.3">
      <c r="A44" s="1">
        <v>45980.727777777778</v>
      </c>
      <c r="B44" s="1">
        <v>45980.729166666664</v>
      </c>
      <c r="C44">
        <v>0</v>
      </c>
      <c r="D44" t="s">
        <v>138</v>
      </c>
      <c r="E44">
        <v>100</v>
      </c>
      <c r="F44">
        <v>117</v>
      </c>
      <c r="G44">
        <v>1</v>
      </c>
      <c r="H44" s="1">
        <v>45980.729166666664</v>
      </c>
      <c r="I44" t="s">
        <v>139</v>
      </c>
      <c r="N44">
        <v>33.220500000000001</v>
      </c>
      <c r="O44">
        <v>-97.129400000000004</v>
      </c>
      <c r="P44" t="s">
        <v>65</v>
      </c>
      <c r="Q44" t="s">
        <v>51</v>
      </c>
      <c r="S44">
        <v>1</v>
      </c>
      <c r="T44">
        <v>6</v>
      </c>
      <c r="U44">
        <v>3</v>
      </c>
      <c r="V44">
        <v>2</v>
      </c>
      <c r="W44">
        <v>2</v>
      </c>
      <c r="X44">
        <v>1</v>
      </c>
      <c r="Y44">
        <v>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L44">
        <v>1</v>
      </c>
      <c r="AR44">
        <v>4</v>
      </c>
      <c r="AS44">
        <v>3</v>
      </c>
      <c r="AT44">
        <v>19</v>
      </c>
      <c r="AU44">
        <v>19</v>
      </c>
      <c r="AV44">
        <v>18</v>
      </c>
      <c r="AW44">
        <v>4</v>
      </c>
    </row>
    <row r="45" spans="1:49" x14ac:dyDescent="0.3">
      <c r="A45" s="1">
        <v>45980.734027777777</v>
      </c>
      <c r="B45" s="1">
        <v>45980.73541666667</v>
      </c>
      <c r="C45">
        <v>0</v>
      </c>
      <c r="D45" t="s">
        <v>140</v>
      </c>
      <c r="E45">
        <v>100</v>
      </c>
      <c r="F45">
        <v>78</v>
      </c>
      <c r="G45">
        <v>1</v>
      </c>
      <c r="H45" s="1">
        <v>45980.73541666667</v>
      </c>
      <c r="I45" t="s">
        <v>141</v>
      </c>
      <c r="N45">
        <v>33.224899999999998</v>
      </c>
      <c r="O45">
        <v>-97.181100000000001</v>
      </c>
      <c r="P45" t="s">
        <v>70</v>
      </c>
      <c r="Q45" t="s">
        <v>51</v>
      </c>
      <c r="S45">
        <v>1</v>
      </c>
      <c r="T45">
        <v>3</v>
      </c>
      <c r="U45">
        <v>3</v>
      </c>
      <c r="V45">
        <v>4</v>
      </c>
      <c r="W45">
        <v>1</v>
      </c>
      <c r="X45">
        <v>2</v>
      </c>
      <c r="Y45">
        <v>3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I45">
        <v>4</v>
      </c>
      <c r="AO45">
        <v>3</v>
      </c>
      <c r="AS45">
        <v>3</v>
      </c>
      <c r="AT45">
        <v>17</v>
      </c>
      <c r="AU45">
        <v>19</v>
      </c>
      <c r="AV45">
        <v>18</v>
      </c>
      <c r="AW45">
        <v>4</v>
      </c>
    </row>
    <row r="46" spans="1:49" x14ac:dyDescent="0.3">
      <c r="A46" s="1">
        <v>45980.742361111108</v>
      </c>
      <c r="B46" s="1">
        <v>45980.743055555555</v>
      </c>
      <c r="C46">
        <v>0</v>
      </c>
      <c r="D46" t="s">
        <v>138</v>
      </c>
      <c r="E46">
        <v>100</v>
      </c>
      <c r="F46">
        <v>66</v>
      </c>
      <c r="G46">
        <v>1</v>
      </c>
      <c r="H46" s="1">
        <v>45980.743055555555</v>
      </c>
      <c r="I46" t="s">
        <v>142</v>
      </c>
      <c r="N46">
        <v>33.220500000000001</v>
      </c>
      <c r="O46">
        <v>-97.129400000000004</v>
      </c>
      <c r="P46" t="s">
        <v>65</v>
      </c>
      <c r="Q46" t="s">
        <v>51</v>
      </c>
      <c r="S46">
        <v>1</v>
      </c>
      <c r="T46">
        <v>6</v>
      </c>
      <c r="U46">
        <v>3</v>
      </c>
      <c r="V46">
        <v>4</v>
      </c>
      <c r="W46">
        <v>1</v>
      </c>
      <c r="X46">
        <v>2</v>
      </c>
      <c r="Y46">
        <v>2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H46">
        <v>4</v>
      </c>
      <c r="AN46">
        <v>3</v>
      </c>
      <c r="AS46">
        <v>3</v>
      </c>
      <c r="AT46">
        <v>19</v>
      </c>
      <c r="AU46">
        <v>18</v>
      </c>
      <c r="AV46">
        <v>17</v>
      </c>
      <c r="AW46">
        <v>4</v>
      </c>
    </row>
    <row r="47" spans="1:49" x14ac:dyDescent="0.3">
      <c r="A47" s="1">
        <v>45980.743055555555</v>
      </c>
      <c r="B47" s="1">
        <v>45980.743750000001</v>
      </c>
      <c r="C47">
        <v>0</v>
      </c>
      <c r="D47" t="s">
        <v>143</v>
      </c>
      <c r="E47">
        <v>100</v>
      </c>
      <c r="F47">
        <v>89</v>
      </c>
      <c r="G47">
        <v>1</v>
      </c>
      <c r="H47" s="1">
        <v>45980.743750000001</v>
      </c>
      <c r="I47" t="s">
        <v>144</v>
      </c>
      <c r="N47">
        <v>32.7836</v>
      </c>
      <c r="O47">
        <v>-96.867400000000004</v>
      </c>
      <c r="P47" t="s">
        <v>65</v>
      </c>
      <c r="Q47" t="s">
        <v>51</v>
      </c>
      <c r="S47">
        <v>1</v>
      </c>
      <c r="T47">
        <v>12</v>
      </c>
      <c r="U47">
        <v>5</v>
      </c>
      <c r="V47">
        <v>5</v>
      </c>
      <c r="W47">
        <v>2</v>
      </c>
      <c r="X47">
        <v>2</v>
      </c>
      <c r="Y47" t="s">
        <v>145</v>
      </c>
      <c r="Z47">
        <v>1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3</v>
      </c>
      <c r="AG47">
        <v>2</v>
      </c>
      <c r="AH47">
        <v>2</v>
      </c>
      <c r="AJ47">
        <v>4</v>
      </c>
      <c r="AM47">
        <v>2</v>
      </c>
      <c r="AN47">
        <v>3</v>
      </c>
      <c r="AP47">
        <v>1</v>
      </c>
      <c r="AS47">
        <v>3</v>
      </c>
      <c r="AT47">
        <v>16</v>
      </c>
      <c r="AU47">
        <v>16</v>
      </c>
      <c r="AV47">
        <v>17</v>
      </c>
      <c r="AW47">
        <v>4</v>
      </c>
    </row>
    <row r="48" spans="1:49" x14ac:dyDescent="0.3">
      <c r="A48" s="1">
        <v>45980.625</v>
      </c>
      <c r="B48" s="1">
        <v>45980.625694444447</v>
      </c>
      <c r="C48">
        <v>0</v>
      </c>
      <c r="D48" t="s">
        <v>146</v>
      </c>
      <c r="E48">
        <v>100</v>
      </c>
      <c r="F48">
        <v>71</v>
      </c>
      <c r="G48">
        <v>1</v>
      </c>
      <c r="H48" s="1">
        <v>45980.625694444447</v>
      </c>
      <c r="I48" t="s">
        <v>147</v>
      </c>
      <c r="N48">
        <v>33.145200000000003</v>
      </c>
      <c r="O48">
        <v>-97.069900000000004</v>
      </c>
      <c r="P48" t="s">
        <v>70</v>
      </c>
      <c r="Q48" t="s">
        <v>51</v>
      </c>
      <c r="S48">
        <v>1</v>
      </c>
      <c r="T48">
        <v>6</v>
      </c>
      <c r="U48">
        <v>1</v>
      </c>
      <c r="V48">
        <v>5</v>
      </c>
      <c r="W48">
        <v>1</v>
      </c>
      <c r="X48">
        <v>2</v>
      </c>
      <c r="Y48" t="s">
        <v>148</v>
      </c>
      <c r="Z48">
        <v>1</v>
      </c>
      <c r="AA48">
        <v>1</v>
      </c>
      <c r="AB48">
        <v>1</v>
      </c>
      <c r="AC48">
        <v>0</v>
      </c>
      <c r="AD48">
        <v>1</v>
      </c>
      <c r="AE48">
        <v>0</v>
      </c>
      <c r="AF48">
        <v>4</v>
      </c>
      <c r="AG48">
        <v>3</v>
      </c>
      <c r="AH48">
        <v>3</v>
      </c>
      <c r="AI48">
        <v>3</v>
      </c>
      <c r="AK48">
        <v>3</v>
      </c>
      <c r="AM48">
        <v>2</v>
      </c>
      <c r="AN48">
        <v>2</v>
      </c>
      <c r="AO48">
        <v>2</v>
      </c>
      <c r="AQ48">
        <v>2</v>
      </c>
      <c r="AS48">
        <v>5</v>
      </c>
      <c r="AT48">
        <v>16</v>
      </c>
      <c r="AU48">
        <v>16</v>
      </c>
      <c r="AV48">
        <v>16</v>
      </c>
      <c r="AW48">
        <v>5</v>
      </c>
    </row>
    <row r="49" spans="1:49" x14ac:dyDescent="0.3">
      <c r="A49" s="1">
        <v>45980.659722222219</v>
      </c>
      <c r="B49" s="1">
        <v>45980.661805555559</v>
      </c>
      <c r="C49">
        <v>0</v>
      </c>
      <c r="D49" t="s">
        <v>149</v>
      </c>
      <c r="E49">
        <v>100</v>
      </c>
      <c r="F49">
        <v>172</v>
      </c>
      <c r="G49">
        <v>1</v>
      </c>
      <c r="H49" s="1">
        <v>45980.661805555559</v>
      </c>
      <c r="I49" t="s">
        <v>150</v>
      </c>
      <c r="N49">
        <v>38.8155</v>
      </c>
      <c r="O49">
        <v>-77.120500000000007</v>
      </c>
      <c r="P49" t="s">
        <v>70</v>
      </c>
      <c r="Q49" t="s">
        <v>51</v>
      </c>
      <c r="S49">
        <v>2</v>
      </c>
      <c r="T49">
        <v>6</v>
      </c>
      <c r="U49">
        <v>4</v>
      </c>
      <c r="V49">
        <v>5</v>
      </c>
      <c r="W49">
        <v>2</v>
      </c>
      <c r="X49">
        <v>2</v>
      </c>
      <c r="Y49" t="s">
        <v>71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3</v>
      </c>
      <c r="AG49">
        <v>3</v>
      </c>
      <c r="AH49">
        <v>4</v>
      </c>
      <c r="AI49">
        <v>3</v>
      </c>
      <c r="AM49">
        <v>3</v>
      </c>
      <c r="AN49">
        <v>3</v>
      </c>
      <c r="AO49">
        <v>2</v>
      </c>
      <c r="AS49">
        <v>4</v>
      </c>
      <c r="AT49">
        <v>17</v>
      </c>
      <c r="AU49">
        <v>16</v>
      </c>
      <c r="AV49">
        <v>18</v>
      </c>
      <c r="AW49">
        <v>5</v>
      </c>
    </row>
    <row r="50" spans="1:49" x14ac:dyDescent="0.3">
      <c r="A50" s="1">
        <v>45980.686111111114</v>
      </c>
      <c r="B50" s="1">
        <v>45980.688194444447</v>
      </c>
      <c r="C50">
        <v>0</v>
      </c>
      <c r="D50" t="s">
        <v>151</v>
      </c>
      <c r="E50">
        <v>100</v>
      </c>
      <c r="F50">
        <v>173</v>
      </c>
      <c r="G50">
        <v>1</v>
      </c>
      <c r="H50" s="1">
        <v>45980.688194444447</v>
      </c>
      <c r="I50" t="s">
        <v>152</v>
      </c>
      <c r="N50">
        <v>29.469799999999999</v>
      </c>
      <c r="O50">
        <v>-98.535700000000006</v>
      </c>
      <c r="P50" t="s">
        <v>65</v>
      </c>
      <c r="Q50" t="s">
        <v>51</v>
      </c>
      <c r="S50">
        <v>1</v>
      </c>
      <c r="T50">
        <v>6</v>
      </c>
      <c r="U50">
        <v>4</v>
      </c>
      <c r="V50">
        <v>5</v>
      </c>
      <c r="W50">
        <v>1</v>
      </c>
      <c r="X50">
        <v>1</v>
      </c>
      <c r="Y50" t="s">
        <v>153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0</v>
      </c>
      <c r="AF50">
        <v>4</v>
      </c>
      <c r="AH50">
        <v>4</v>
      </c>
      <c r="AI50">
        <v>4</v>
      </c>
      <c r="AJ50">
        <v>4</v>
      </c>
      <c r="AK50">
        <v>4</v>
      </c>
      <c r="AN50">
        <v>1</v>
      </c>
      <c r="AO50">
        <v>1</v>
      </c>
      <c r="AP50">
        <v>1</v>
      </c>
      <c r="AQ50">
        <v>1</v>
      </c>
      <c r="AS50">
        <v>5</v>
      </c>
      <c r="AT50">
        <v>16</v>
      </c>
      <c r="AU50">
        <v>16</v>
      </c>
      <c r="AV50">
        <v>16</v>
      </c>
      <c r="AW50">
        <v>5</v>
      </c>
    </row>
    <row r="51" spans="1:49" x14ac:dyDescent="0.3">
      <c r="A51" s="1">
        <v>45980.697222222225</v>
      </c>
      <c r="B51" s="1">
        <v>45980.697916666664</v>
      </c>
      <c r="C51">
        <v>0</v>
      </c>
      <c r="D51" t="s">
        <v>154</v>
      </c>
      <c r="E51">
        <v>100</v>
      </c>
      <c r="F51">
        <v>86</v>
      </c>
      <c r="G51">
        <v>1</v>
      </c>
      <c r="H51" s="1">
        <v>45980.697916666664</v>
      </c>
      <c r="I51" t="s">
        <v>155</v>
      </c>
      <c r="N51">
        <v>43.654699999999998</v>
      </c>
      <c r="O51">
        <v>-79.362300000000005</v>
      </c>
      <c r="P51" t="s">
        <v>65</v>
      </c>
      <c r="Q51" t="s">
        <v>51</v>
      </c>
      <c r="S51">
        <v>1</v>
      </c>
      <c r="T51">
        <v>4</v>
      </c>
      <c r="U51">
        <v>4</v>
      </c>
      <c r="V51">
        <v>5</v>
      </c>
      <c r="W51">
        <v>2</v>
      </c>
      <c r="X51">
        <v>2</v>
      </c>
      <c r="Y51" t="s">
        <v>79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5</v>
      </c>
      <c r="AH51">
        <v>5</v>
      </c>
      <c r="AM51">
        <v>1</v>
      </c>
      <c r="AN51">
        <v>1</v>
      </c>
      <c r="AS51">
        <v>4</v>
      </c>
      <c r="AT51">
        <v>18</v>
      </c>
      <c r="AU51">
        <v>17</v>
      </c>
      <c r="AV51">
        <v>17</v>
      </c>
      <c r="AW51">
        <v>5</v>
      </c>
    </row>
    <row r="52" spans="1:49" x14ac:dyDescent="0.3">
      <c r="A52" s="1">
        <v>45980.699305555558</v>
      </c>
      <c r="B52" s="1">
        <v>45980.7</v>
      </c>
      <c r="C52">
        <v>0</v>
      </c>
      <c r="D52" t="s">
        <v>156</v>
      </c>
      <c r="E52">
        <v>100</v>
      </c>
      <c r="F52">
        <v>95</v>
      </c>
      <c r="G52">
        <v>1</v>
      </c>
      <c r="H52" s="1">
        <v>45980.7</v>
      </c>
      <c r="I52" t="s">
        <v>157</v>
      </c>
      <c r="N52">
        <v>29.469799999999999</v>
      </c>
      <c r="O52">
        <v>-98.535700000000006</v>
      </c>
      <c r="P52" t="s">
        <v>65</v>
      </c>
      <c r="Q52" t="s">
        <v>51</v>
      </c>
      <c r="S52">
        <v>1</v>
      </c>
      <c r="T52">
        <v>6</v>
      </c>
      <c r="U52">
        <v>4</v>
      </c>
      <c r="V52">
        <v>5</v>
      </c>
      <c r="W52">
        <v>2</v>
      </c>
      <c r="X52">
        <v>1</v>
      </c>
      <c r="Y52" t="s">
        <v>145</v>
      </c>
      <c r="Z52">
        <v>1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3</v>
      </c>
      <c r="AG52">
        <v>2</v>
      </c>
      <c r="AH52">
        <v>3</v>
      </c>
      <c r="AJ52">
        <v>4</v>
      </c>
      <c r="AM52">
        <v>1</v>
      </c>
      <c r="AN52">
        <v>1</v>
      </c>
      <c r="AP52">
        <v>1</v>
      </c>
      <c r="AS52">
        <v>4</v>
      </c>
      <c r="AT52">
        <v>17</v>
      </c>
      <c r="AU52">
        <v>17</v>
      </c>
      <c r="AV52">
        <v>18</v>
      </c>
      <c r="AW52">
        <v>5</v>
      </c>
    </row>
    <row r="53" spans="1:49" x14ac:dyDescent="0.3">
      <c r="A53" s="1">
        <v>45980.697916666664</v>
      </c>
      <c r="B53" s="1">
        <v>45980.700694444444</v>
      </c>
      <c r="C53">
        <v>0</v>
      </c>
      <c r="D53" t="s">
        <v>158</v>
      </c>
      <c r="E53">
        <v>100</v>
      </c>
      <c r="F53">
        <v>227</v>
      </c>
      <c r="G53">
        <v>1</v>
      </c>
      <c r="H53" s="1">
        <v>45980.700694444444</v>
      </c>
      <c r="I53" t="s">
        <v>159</v>
      </c>
      <c r="N53">
        <v>32.788899999999998</v>
      </c>
      <c r="O53">
        <v>-96.802099999999996</v>
      </c>
      <c r="P53" t="s">
        <v>65</v>
      </c>
      <c r="Q53" t="s">
        <v>51</v>
      </c>
      <c r="S53">
        <v>2</v>
      </c>
      <c r="T53">
        <v>6</v>
      </c>
      <c r="U53">
        <v>2</v>
      </c>
      <c r="V53">
        <v>4</v>
      </c>
      <c r="W53">
        <v>2</v>
      </c>
      <c r="X53">
        <v>2</v>
      </c>
      <c r="Y53" t="s">
        <v>79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2</v>
      </c>
      <c r="AG53">
        <v>3</v>
      </c>
      <c r="AH53">
        <v>4</v>
      </c>
      <c r="AM53">
        <v>1</v>
      </c>
      <c r="AN53">
        <v>1</v>
      </c>
      <c r="AS53">
        <v>5</v>
      </c>
      <c r="AT53">
        <v>17</v>
      </c>
      <c r="AU53">
        <v>17</v>
      </c>
      <c r="AV53">
        <v>17</v>
      </c>
      <c r="AW53">
        <v>5</v>
      </c>
    </row>
    <row r="54" spans="1:49" x14ac:dyDescent="0.3">
      <c r="A54" s="1">
        <v>45980.697916666664</v>
      </c>
      <c r="B54" s="1">
        <v>45980.700694444444</v>
      </c>
      <c r="C54">
        <v>0</v>
      </c>
      <c r="D54" t="s">
        <v>160</v>
      </c>
      <c r="E54">
        <v>100</v>
      </c>
      <c r="F54">
        <v>257</v>
      </c>
      <c r="G54">
        <v>1</v>
      </c>
      <c r="H54" s="1">
        <v>45980.700694444444</v>
      </c>
      <c r="I54" t="s">
        <v>161</v>
      </c>
      <c r="N54">
        <v>29.469799999999999</v>
      </c>
      <c r="O54">
        <v>-98.535700000000006</v>
      </c>
      <c r="P54" t="s">
        <v>65</v>
      </c>
      <c r="Q54" t="s">
        <v>51</v>
      </c>
      <c r="S54">
        <v>2</v>
      </c>
      <c r="T54">
        <v>6</v>
      </c>
      <c r="U54">
        <v>2</v>
      </c>
      <c r="V54">
        <v>2</v>
      </c>
      <c r="W54">
        <v>1</v>
      </c>
      <c r="X54">
        <v>2</v>
      </c>
      <c r="Y54" t="s">
        <v>105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6</v>
      </c>
      <c r="AG54">
        <v>3</v>
      </c>
      <c r="AH54">
        <v>3</v>
      </c>
      <c r="AI54">
        <v>3</v>
      </c>
      <c r="AJ54">
        <v>3</v>
      </c>
      <c r="AK54">
        <v>3</v>
      </c>
      <c r="AL54">
        <v>3</v>
      </c>
      <c r="AM54">
        <v>4</v>
      </c>
      <c r="AN54">
        <v>2</v>
      </c>
      <c r="AO54">
        <v>2</v>
      </c>
      <c r="AP54">
        <v>2</v>
      </c>
      <c r="AQ54">
        <v>5</v>
      </c>
      <c r="AR54">
        <v>5</v>
      </c>
      <c r="AS54">
        <v>5</v>
      </c>
      <c r="AT54">
        <v>17</v>
      </c>
      <c r="AU54">
        <v>17</v>
      </c>
      <c r="AV54">
        <v>17</v>
      </c>
      <c r="AW54">
        <v>5</v>
      </c>
    </row>
    <row r="55" spans="1:49" x14ac:dyDescent="0.3">
      <c r="A55" s="1">
        <v>45980.743055555555</v>
      </c>
      <c r="B55" s="1">
        <v>45980.743750000001</v>
      </c>
      <c r="C55">
        <v>0</v>
      </c>
      <c r="D55" t="s">
        <v>162</v>
      </c>
      <c r="E55">
        <v>100</v>
      </c>
      <c r="F55">
        <v>75</v>
      </c>
      <c r="G55">
        <v>1</v>
      </c>
      <c r="H55" s="1">
        <v>45980.743750000001</v>
      </c>
      <c r="I55" t="s">
        <v>163</v>
      </c>
      <c r="N55">
        <v>32.779699999999998</v>
      </c>
      <c r="O55">
        <v>-96.802199999999999</v>
      </c>
      <c r="P55" t="s">
        <v>65</v>
      </c>
      <c r="Q55" t="s">
        <v>51</v>
      </c>
      <c r="S55">
        <v>1</v>
      </c>
      <c r="T55">
        <v>12</v>
      </c>
      <c r="U55">
        <v>4</v>
      </c>
      <c r="V55">
        <v>5</v>
      </c>
      <c r="W55">
        <v>1</v>
      </c>
      <c r="X55">
        <v>2</v>
      </c>
      <c r="Y55">
        <v>2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H55">
        <v>5</v>
      </c>
      <c r="AN55">
        <v>2</v>
      </c>
      <c r="AS55">
        <v>4</v>
      </c>
      <c r="AT55">
        <v>16</v>
      </c>
      <c r="AU55">
        <v>16</v>
      </c>
      <c r="AV55">
        <v>16</v>
      </c>
      <c r="AW55">
        <v>5</v>
      </c>
    </row>
    <row r="56" spans="1:49" x14ac:dyDescent="0.3">
      <c r="A56" s="1">
        <v>45980.742361111108</v>
      </c>
      <c r="B56" s="1">
        <v>45980.743750000001</v>
      </c>
      <c r="C56">
        <v>0</v>
      </c>
      <c r="D56" t="s">
        <v>164</v>
      </c>
      <c r="E56">
        <v>100</v>
      </c>
      <c r="F56">
        <v>144</v>
      </c>
      <c r="G56">
        <v>1</v>
      </c>
      <c r="H56" s="1">
        <v>45980.743750000001</v>
      </c>
      <c r="I56" t="s">
        <v>165</v>
      </c>
      <c r="N56">
        <v>32.779699999999998</v>
      </c>
      <c r="O56">
        <v>-96.802199999999999</v>
      </c>
      <c r="P56" t="s">
        <v>65</v>
      </c>
      <c r="Q56" t="s">
        <v>51</v>
      </c>
      <c r="S56">
        <v>1</v>
      </c>
      <c r="T56">
        <v>6</v>
      </c>
      <c r="U56">
        <v>2</v>
      </c>
      <c r="V56">
        <v>5</v>
      </c>
      <c r="W56">
        <v>2</v>
      </c>
      <c r="X56">
        <v>2</v>
      </c>
      <c r="Y56" t="s">
        <v>166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2</v>
      </c>
      <c r="AJ56">
        <v>4</v>
      </c>
      <c r="AK56">
        <v>4</v>
      </c>
      <c r="AP56">
        <v>2</v>
      </c>
      <c r="AQ56">
        <v>2</v>
      </c>
      <c r="AS56">
        <v>5</v>
      </c>
      <c r="AT56">
        <v>16</v>
      </c>
      <c r="AU56">
        <v>16</v>
      </c>
      <c r="AV56">
        <v>16</v>
      </c>
      <c r="AW56">
        <v>5</v>
      </c>
    </row>
    <row r="57" spans="1:49" x14ac:dyDescent="0.3">
      <c r="A57" s="1">
        <v>45980.781944444447</v>
      </c>
      <c r="B57" s="1">
        <v>45980.838194444441</v>
      </c>
      <c r="C57">
        <v>0</v>
      </c>
      <c r="D57" t="s">
        <v>66</v>
      </c>
      <c r="E57">
        <v>100</v>
      </c>
      <c r="F57">
        <v>4876</v>
      </c>
      <c r="G57">
        <v>1</v>
      </c>
      <c r="H57" s="1">
        <v>45980.838194444441</v>
      </c>
      <c r="I57" t="s">
        <v>167</v>
      </c>
      <c r="N57">
        <v>33.220500000000001</v>
      </c>
      <c r="O57">
        <v>-97.129400000000004</v>
      </c>
      <c r="P57" t="s">
        <v>70</v>
      </c>
      <c r="Q57" t="s">
        <v>51</v>
      </c>
      <c r="S57">
        <v>1</v>
      </c>
      <c r="T57">
        <v>6</v>
      </c>
      <c r="U57">
        <v>4</v>
      </c>
      <c r="V57">
        <v>5</v>
      </c>
      <c r="W57">
        <v>1</v>
      </c>
      <c r="X57">
        <v>1</v>
      </c>
      <c r="Y57" t="s">
        <v>58</v>
      </c>
      <c r="Z57">
        <v>0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2</v>
      </c>
      <c r="AH57">
        <v>3</v>
      </c>
      <c r="AI57">
        <v>3</v>
      </c>
      <c r="AN57">
        <v>1</v>
      </c>
      <c r="AO57">
        <v>1</v>
      </c>
      <c r="AS57">
        <v>3</v>
      </c>
      <c r="AT57">
        <v>17</v>
      </c>
      <c r="AU57">
        <v>16</v>
      </c>
      <c r="AV57">
        <v>17</v>
      </c>
      <c r="AW57">
        <v>5</v>
      </c>
    </row>
    <row r="58" spans="1:49" x14ac:dyDescent="0.3">
      <c r="Z58">
        <f>SUM(Z2:Z57)</f>
        <v>26</v>
      </c>
      <c r="AA58">
        <f t="shared" ref="AA58:AE58" si="0">SUM(AA2:AA57)</f>
        <v>31</v>
      </c>
      <c r="AB58">
        <f t="shared" si="0"/>
        <v>19</v>
      </c>
      <c r="AC58">
        <f t="shared" si="0"/>
        <v>11</v>
      </c>
      <c r="AD58">
        <f t="shared" si="0"/>
        <v>15</v>
      </c>
      <c r="AE58">
        <f t="shared" si="0"/>
        <v>12</v>
      </c>
      <c r="AM58" t="s">
        <v>168</v>
      </c>
      <c r="AN58" t="s">
        <v>173</v>
      </c>
      <c r="AO58" t="s">
        <v>172</v>
      </c>
      <c r="AP58" t="s">
        <v>171</v>
      </c>
      <c r="AQ58" t="s">
        <v>170</v>
      </c>
      <c r="AR58" t="s">
        <v>169</v>
      </c>
      <c r="AT58" t="s">
        <v>174</v>
      </c>
    </row>
    <row r="59" spans="1:49" x14ac:dyDescent="0.3">
      <c r="Z59">
        <v>56</v>
      </c>
      <c r="AA59">
        <v>56</v>
      </c>
      <c r="AB59">
        <v>56</v>
      </c>
      <c r="AC59">
        <v>56</v>
      </c>
      <c r="AD59">
        <v>56</v>
      </c>
      <c r="AE59">
        <v>56</v>
      </c>
      <c r="AL59">
        <v>1</v>
      </c>
      <c r="AM59">
        <f>COUNTIF(AM3:AM57,"1")</f>
        <v>6</v>
      </c>
      <c r="AN59">
        <f t="shared" ref="AN59:AR59" si="1">COUNTIF(AN3:AN57,"1")</f>
        <v>10</v>
      </c>
      <c r="AO59">
        <f t="shared" si="1"/>
        <v>7</v>
      </c>
      <c r="AP59">
        <f t="shared" si="1"/>
        <v>5</v>
      </c>
      <c r="AQ59">
        <f t="shared" si="1"/>
        <v>4</v>
      </c>
      <c r="AR59">
        <f t="shared" si="1"/>
        <v>5</v>
      </c>
      <c r="AT59">
        <f>SUM(AM59:AR59)</f>
        <v>37</v>
      </c>
    </row>
    <row r="60" spans="1:49" x14ac:dyDescent="0.3">
      <c r="Z60">
        <f>(Z58/Z59)*100</f>
        <v>46.428571428571431</v>
      </c>
      <c r="AA60">
        <f t="shared" ref="AA60:AE60" si="2">(AA58/AA59)*100</f>
        <v>55.357142857142861</v>
      </c>
      <c r="AB60">
        <f t="shared" si="2"/>
        <v>33.928571428571431</v>
      </c>
      <c r="AC60">
        <f t="shared" si="2"/>
        <v>19.642857142857142</v>
      </c>
      <c r="AD60">
        <f t="shared" si="2"/>
        <v>26.785714285714285</v>
      </c>
      <c r="AE60">
        <f t="shared" si="2"/>
        <v>21.428571428571427</v>
      </c>
      <c r="AL60">
        <v>2</v>
      </c>
      <c r="AM60">
        <f>COUNTIF(AM3:AM57,"2")</f>
        <v>11</v>
      </c>
      <c r="AN60">
        <f t="shared" ref="AN60:AR60" si="3">COUNTIF(AN3:AN57,"2")</f>
        <v>10</v>
      </c>
      <c r="AO60">
        <f t="shared" si="3"/>
        <v>10</v>
      </c>
      <c r="AP60">
        <f t="shared" si="3"/>
        <v>5</v>
      </c>
      <c r="AQ60">
        <f t="shared" si="3"/>
        <v>6</v>
      </c>
      <c r="AR60">
        <f t="shared" si="3"/>
        <v>2</v>
      </c>
      <c r="AT60">
        <f t="shared" ref="AT60:AT63" si="4">SUM(AM60:AR60)</f>
        <v>44</v>
      </c>
    </row>
    <row r="61" spans="1:49" x14ac:dyDescent="0.3">
      <c r="Z61">
        <v>1</v>
      </c>
      <c r="AA61">
        <v>2</v>
      </c>
      <c r="AB61">
        <v>3</v>
      </c>
      <c r="AC61">
        <v>4</v>
      </c>
      <c r="AD61">
        <v>5</v>
      </c>
      <c r="AE61">
        <v>6</v>
      </c>
      <c r="AL61">
        <v>3</v>
      </c>
      <c r="AM61">
        <f>COUNTIF(AM3:AM57,"3")</f>
        <v>7</v>
      </c>
      <c r="AN61">
        <f t="shared" ref="AN61:AR61" si="5">COUNTIF(AN3:AN57,"3")</f>
        <v>10</v>
      </c>
      <c r="AO61">
        <f t="shared" si="5"/>
        <v>1</v>
      </c>
      <c r="AP61">
        <f t="shared" si="5"/>
        <v>0</v>
      </c>
      <c r="AQ61">
        <f t="shared" si="5"/>
        <v>3</v>
      </c>
      <c r="AR61">
        <f t="shared" si="5"/>
        <v>3</v>
      </c>
      <c r="AT61">
        <f t="shared" si="4"/>
        <v>24</v>
      </c>
    </row>
    <row r="62" spans="1:49" x14ac:dyDescent="0.3">
      <c r="AL62">
        <v>4</v>
      </c>
      <c r="AM62">
        <f>COUNTIF(AM3:AM57,"4")</f>
        <v>1</v>
      </c>
      <c r="AN62">
        <f t="shared" ref="AN62:AR62" si="6">COUNTIF(AN3:AN57,"4")</f>
        <v>0</v>
      </c>
      <c r="AO62">
        <f t="shared" si="6"/>
        <v>0</v>
      </c>
      <c r="AP62">
        <f t="shared" si="6"/>
        <v>0</v>
      </c>
      <c r="AQ62">
        <f t="shared" si="6"/>
        <v>1</v>
      </c>
      <c r="AR62">
        <f t="shared" si="6"/>
        <v>1</v>
      </c>
      <c r="AT62">
        <f t="shared" si="4"/>
        <v>3</v>
      </c>
    </row>
    <row r="63" spans="1:49" x14ac:dyDescent="0.3">
      <c r="AL63">
        <v>5</v>
      </c>
      <c r="AM63">
        <f>COUNTIF(AM3:AM57,"5")</f>
        <v>0</v>
      </c>
      <c r="AN63">
        <f t="shared" ref="AN63:AR63" si="7">COUNTIF(AN3:AN57,"5")</f>
        <v>0</v>
      </c>
      <c r="AO63">
        <f t="shared" si="7"/>
        <v>0</v>
      </c>
      <c r="AP63">
        <f t="shared" si="7"/>
        <v>0</v>
      </c>
      <c r="AQ63">
        <f t="shared" si="7"/>
        <v>1</v>
      </c>
      <c r="AR63">
        <f t="shared" si="7"/>
        <v>1</v>
      </c>
      <c r="AT63">
        <f t="shared" si="4"/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survey_report_test_v1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Devin Brown</cp:lastModifiedBy>
  <dcterms:created xsi:type="dcterms:W3CDTF">2025-11-23T23:17:00Z</dcterms:created>
  <dcterms:modified xsi:type="dcterms:W3CDTF">2025-11-23T23:19:51Z</dcterms:modified>
</cp:coreProperties>
</file>